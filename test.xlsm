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ion_\Downloads\"/>
    </mc:Choice>
  </mc:AlternateContent>
  <xr:revisionPtr revIDLastSave="0" documentId="8_{2277920A-1A5C-49C0-AC14-EF3F24D0783D}" xr6:coauthVersionLast="47" xr6:coauthVersionMax="47" xr10:uidLastSave="{00000000-0000-0000-0000-000000000000}"/>
  <bookViews>
    <workbookView xWindow="825" yWindow="1290" windowWidth="20205" windowHeight="13845" activeTab="1" xr2:uid="{00000000-000D-0000-FFFF-FFFF00000000}"/>
  </bookViews>
  <sheets>
    <sheet name="Transport data" sheetId="5" r:id="rId1"/>
    <sheet name="invoer data" sheetId="6" r:id="rId2"/>
    <sheet name="Visual" sheetId="4" r:id="rId3"/>
    <sheet name="CSP and Pyro" sheetId="7" r:id="rId4"/>
    <sheet name="Contamination" sheetId="2" r:id="rId5"/>
    <sheet name="Lot overview" sheetId="3" r:id="rId6"/>
  </sheets>
  <definedNames>
    <definedName name="Fraction">#REF!</definedName>
    <definedName name="Homogeneous" localSheetId="1">#REF!</definedName>
    <definedName name="Homogeneous">#REF!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5" l="1"/>
  <c r="C10" i="5"/>
  <c r="C9" i="5"/>
  <c r="C7" i="5"/>
  <c r="C6" i="5"/>
  <c r="C5" i="5"/>
  <c r="C1" i="5"/>
  <c r="O66" i="6"/>
  <c r="C21" i="5" s="1"/>
  <c r="M66" i="6"/>
  <c r="C20" i="5" s="1"/>
  <c r="K66" i="6"/>
  <c r="C19" i="5" s="1"/>
  <c r="I66" i="6"/>
  <c r="C18" i="5" s="1"/>
  <c r="G66" i="6"/>
  <c r="C17" i="5" s="1"/>
  <c r="U58" i="6"/>
  <c r="S52" i="6"/>
  <c r="S51" i="6"/>
  <c r="S50" i="6"/>
  <c r="T46" i="6"/>
  <c r="U46" i="6" s="1"/>
  <c r="T45" i="6"/>
  <c r="U45" i="6" s="1"/>
  <c r="T41" i="6"/>
  <c r="U41" i="6" s="1"/>
  <c r="T39" i="6"/>
  <c r="S39" i="6"/>
  <c r="C8" i="5" s="1"/>
  <c r="T34" i="6"/>
  <c r="T32" i="6"/>
  <c r="U32" i="6" s="1"/>
  <c r="T28" i="6"/>
  <c r="U28" i="6" s="1"/>
  <c r="T26" i="6"/>
  <c r="S26" i="6"/>
  <c r="C4" i="5" s="1"/>
  <c r="T25" i="6"/>
  <c r="S25" i="6"/>
  <c r="C3" i="5" s="1"/>
  <c r="R18" i="6"/>
  <c r="R16" i="6"/>
  <c r="Q62" i="6" s="1"/>
  <c r="R15" i="6"/>
  <c r="T56" i="6" s="1"/>
  <c r="AP7" i="6"/>
  <c r="AL7" i="6"/>
  <c r="AH7" i="6"/>
  <c r="AC7" i="6"/>
  <c r="AP6" i="6"/>
  <c r="AL6" i="6"/>
  <c r="AH6" i="6"/>
  <c r="AC6" i="6"/>
  <c r="AP5" i="6"/>
  <c r="AL5" i="6"/>
  <c r="AH5" i="6"/>
  <c r="AC5" i="6"/>
  <c r="AP4" i="6"/>
  <c r="AL4" i="6"/>
  <c r="AH4" i="6"/>
  <c r="AC4" i="6"/>
  <c r="AP3" i="6"/>
  <c r="AP8" i="6" s="1"/>
  <c r="AL3" i="6"/>
  <c r="AL8" i="6" s="1"/>
  <c r="AH3" i="6"/>
  <c r="AC3" i="6"/>
  <c r="AC8" i="6" s="1"/>
  <c r="AH8" i="6" l="1"/>
  <c r="AA8" i="6" s="1"/>
  <c r="U26" i="6"/>
  <c r="U34" i="6"/>
  <c r="U39" i="6"/>
  <c r="U52" i="6"/>
  <c r="C15" i="5" s="1"/>
  <c r="U25" i="6"/>
  <c r="U51" i="6"/>
  <c r="C14" i="5" s="1"/>
  <c r="U50" i="6"/>
  <c r="C13" i="5" s="1"/>
  <c r="U54" i="6"/>
  <c r="U56" i="6"/>
  <c r="T52" i="6"/>
  <c r="T55" i="6"/>
  <c r="T57" i="6"/>
  <c r="T51" i="6"/>
  <c r="U55" i="6"/>
  <c r="U57" i="6"/>
  <c r="T50" i="6"/>
  <c r="T5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Goos Kers</author>
  </authors>
  <commentList>
    <comment ref="R14" authorId="0" shapeId="0" xr:uid="{E407241E-0156-4D88-8FD3-A722F7C8E16E}">
      <text>
        <r>
          <rPr>
            <b/>
            <sz val="9"/>
            <color indexed="81"/>
            <rFont val="Tahoma"/>
            <family val="2"/>
          </rPr>
          <t>Goos Kers:</t>
        </r>
        <r>
          <rPr>
            <sz val="9"/>
            <color indexed="81"/>
            <rFont val="Tahoma"/>
            <family val="2"/>
          </rPr>
          <t xml:space="preserve">
minimaal 0,04 % met minimum van 250 kg</t>
        </r>
      </text>
    </comment>
    <comment ref="R15" authorId="0" shapeId="0" xr:uid="{CE777E42-1B4F-48DE-8693-F4376B790B84}">
      <text>
        <r>
          <rPr>
            <b/>
            <sz val="9"/>
            <color indexed="81"/>
            <rFont val="Tahoma"/>
            <family val="2"/>
          </rPr>
          <t>Goos Kers:</t>
        </r>
        <r>
          <rPr>
            <sz val="9"/>
            <color indexed="81"/>
            <rFont val="Tahoma"/>
            <family val="2"/>
          </rPr>
          <t xml:space="preserve">
minimaal 10 kg</t>
        </r>
      </text>
    </comment>
    <comment ref="R16" authorId="0" shapeId="0" xr:uid="{3D690526-C996-4FAA-83F7-D3EFF09F168D}">
      <text>
        <r>
          <rPr>
            <b/>
            <sz val="9"/>
            <color indexed="81"/>
            <rFont val="Tahoma"/>
            <family val="2"/>
          </rPr>
          <t>Goos Kers:</t>
        </r>
        <r>
          <rPr>
            <sz val="9"/>
            <color indexed="81"/>
            <rFont val="Tahoma"/>
            <family val="2"/>
          </rPr>
          <t xml:space="preserve">
minimaal  3kg van 10 kg</t>
        </r>
      </text>
    </comment>
    <comment ref="R17" authorId="0" shapeId="0" xr:uid="{0CCD4EC4-7019-44AD-B0DF-D99B82BAB303}">
      <text>
        <r>
          <rPr>
            <b/>
            <sz val="9"/>
            <color indexed="81"/>
            <rFont val="Tahoma"/>
            <family val="2"/>
          </rPr>
          <t>Goos Kers:</t>
        </r>
        <r>
          <rPr>
            <sz val="9"/>
            <color indexed="81"/>
            <rFont val="Tahoma"/>
            <family val="2"/>
          </rPr>
          <t xml:space="preserve">
alleen op speciaal verzoek</t>
        </r>
      </text>
    </comment>
    <comment ref="R18" authorId="0" shapeId="0" xr:uid="{6B67D6A9-3074-46A7-83A3-4B693053407D}">
      <text>
        <r>
          <rPr>
            <b/>
            <sz val="9"/>
            <color indexed="81"/>
            <rFont val="Tahoma"/>
            <family val="2"/>
          </rPr>
          <t>Goos Kers:</t>
        </r>
        <r>
          <rPr>
            <sz val="9"/>
            <color indexed="81"/>
            <rFont val="Tahoma"/>
            <family val="2"/>
          </rPr>
          <t xml:space="preserve">
&gt; 0,04 %</t>
        </r>
      </text>
    </comment>
    <comment ref="R19" authorId="0" shapeId="0" xr:uid="{F5A08C31-E6C3-4031-9624-1E235BFC4268}">
      <text>
        <r>
          <rPr>
            <b/>
            <sz val="9"/>
            <color indexed="81"/>
            <rFont val="Tahoma"/>
            <family val="2"/>
          </rPr>
          <t>Goos Kers:</t>
        </r>
        <r>
          <rPr>
            <sz val="9"/>
            <color indexed="81"/>
            <rFont val="Tahoma"/>
            <family val="2"/>
          </rPr>
          <t xml:space="preserve">
name</t>
        </r>
      </text>
    </comment>
    <comment ref="Z25" authorId="0" shapeId="0" xr:uid="{8184DF38-D30F-4B7D-BFDC-FB0C148E8EC7}">
      <text>
        <r>
          <rPr>
            <b/>
            <sz val="9"/>
            <color indexed="81"/>
            <rFont val="Tahoma"/>
            <family val="2"/>
          </rPr>
          <t>Goos Kers:</t>
        </r>
        <r>
          <rPr>
            <sz val="9"/>
            <color indexed="81"/>
            <rFont val="Tahoma"/>
            <family val="2"/>
          </rPr>
          <t xml:space="preserve">
spec in formule aanpassen</t>
        </r>
      </text>
    </comment>
    <comment ref="Z57" authorId="0" shapeId="0" xr:uid="{DE0BDEA9-1618-4A48-8132-72F9EF95E7D3}">
      <text>
        <r>
          <rPr>
            <b/>
            <sz val="9"/>
            <color indexed="81"/>
            <rFont val="Tahoma"/>
            <family val="2"/>
          </rPr>
          <t>Goos Kers:</t>
        </r>
        <r>
          <rPr>
            <sz val="9"/>
            <color indexed="81"/>
            <rFont val="Tahoma"/>
            <family val="2"/>
          </rPr>
          <t xml:space="preserve">
spec in formule aan passen</t>
        </r>
      </text>
    </comment>
  </commentList>
</comments>
</file>

<file path=xl/sharedStrings.xml><?xml version="1.0" encoding="utf-8"?>
<sst xmlns="http://schemas.openxmlformats.org/spreadsheetml/2006/main" count="210" uniqueCount="126">
  <si>
    <t>GENERAL DATA</t>
  </si>
  <si>
    <t>OI country</t>
  </si>
  <si>
    <t xml:space="preserve">Supplier </t>
  </si>
  <si>
    <t>SAP code:</t>
  </si>
  <si>
    <t>Type of cullet</t>
  </si>
  <si>
    <t xml:space="preserve">OI Plant </t>
  </si>
  <si>
    <t xml:space="preserve">Additional remark cullet </t>
  </si>
  <si>
    <t>Delivery incoming control data</t>
  </si>
  <si>
    <t>Date of the test</t>
  </si>
  <si>
    <t xml:space="preserve">Type of test </t>
  </si>
  <si>
    <t xml:space="preserve">Delivery Ref / LOT number   </t>
  </si>
  <si>
    <t>Production plant Supplier</t>
  </si>
  <si>
    <t>TRUCK / LOT size (tons)</t>
  </si>
  <si>
    <t>Sample size (kg) :</t>
  </si>
  <si>
    <t xml:space="preserve">Contamination </t>
  </si>
  <si>
    <t>Granulometry/ sizing</t>
  </si>
  <si>
    <t>Color distribution</t>
  </si>
  <si>
    <t>Humidity</t>
  </si>
  <si>
    <t>Sample coefficient (contamination)</t>
  </si>
  <si>
    <t>Control done by :</t>
  </si>
  <si>
    <t>OI</t>
  </si>
  <si>
    <t>RESULTS vs SPECIFICATION DATA</t>
  </si>
  <si>
    <t xml:space="preserve"> 1.  Inorganic contamination</t>
  </si>
  <si>
    <t>Unit of measure</t>
  </si>
  <si>
    <t>Specification</t>
  </si>
  <si>
    <t>Data OI  Lot-test</t>
  </si>
  <si>
    <t>Sample result (grams)</t>
  </si>
  <si>
    <t xml:space="preserve">Factor to PPM / % </t>
  </si>
  <si>
    <t>Output value per ton</t>
  </si>
  <si>
    <t>Standard OI-Europe requirements :</t>
  </si>
  <si>
    <t>CSP :</t>
  </si>
  <si>
    <t>Ceramics</t>
  </si>
  <si>
    <t>Stones</t>
  </si>
  <si>
    <t>Porcelain</t>
  </si>
  <si>
    <t>Input (#)</t>
  </si>
  <si>
    <t># pcs</t>
  </si>
  <si>
    <t>Input (gr.)</t>
  </si>
  <si>
    <t>gr/ton</t>
  </si>
  <si>
    <t>Local spec. requirements  :</t>
  </si>
  <si>
    <t xml:space="preserve"> </t>
  </si>
  <si>
    <t/>
  </si>
  <si>
    <t>Opal glass</t>
  </si>
  <si>
    <t xml:space="preserve"> 2.  Metal contamination</t>
  </si>
  <si>
    <t>Magnetic (ppm / gr/ton)</t>
  </si>
  <si>
    <t xml:space="preserve"> 3.  Moisture and organic contamination</t>
  </si>
  <si>
    <t>%</t>
  </si>
  <si>
    <t>Organic Matter :</t>
  </si>
  <si>
    <t xml:space="preserve"> 4.  General quality requirements</t>
  </si>
  <si>
    <t>Pyro-Ceramic Glass :</t>
  </si>
  <si>
    <t>Input in grams</t>
  </si>
  <si>
    <t>Input in number of pieces (per sample)</t>
  </si>
  <si>
    <t>5. Granulometry / Sizing</t>
  </si>
  <si>
    <t>&lt; 70 mm</t>
  </si>
  <si>
    <t>On  9,935 KG</t>
  </si>
  <si>
    <t>&lt; 10 mm</t>
  </si>
  <si>
    <t>Input in grams:</t>
  </si>
  <si>
    <t>&gt; 10 mm</t>
  </si>
  <si>
    <t xml:space="preserve">Factor to % </t>
  </si>
  <si>
    <t>Flint%</t>
  </si>
  <si>
    <t>Green</t>
  </si>
  <si>
    <t>Amber</t>
  </si>
  <si>
    <t>Blue</t>
  </si>
  <si>
    <t xml:space="preserve">Output value OI </t>
  </si>
  <si>
    <t>pull down menu</t>
  </si>
  <si>
    <t>vervuiling visueel</t>
  </si>
  <si>
    <t>not all</t>
  </si>
  <si>
    <t>very little</t>
  </si>
  <si>
    <t>average</t>
  </si>
  <si>
    <t>much</t>
  </si>
  <si>
    <t>very much</t>
  </si>
  <si>
    <t>many large pcs</t>
  </si>
  <si>
    <t>large som fine pcs</t>
  </si>
  <si>
    <t>mainly fine + some large</t>
  </si>
  <si>
    <t>mainly fine pieces</t>
  </si>
  <si>
    <t>Very homogeneous</t>
  </si>
  <si>
    <t>very homogeneous</t>
  </si>
  <si>
    <t>better than average</t>
  </si>
  <si>
    <t>worse than average</t>
  </si>
  <si>
    <t>not homogeneous</t>
  </si>
  <si>
    <t>som</t>
  </si>
  <si>
    <t>Gr/ton</t>
  </si>
  <si>
    <t>gr/t</t>
  </si>
  <si>
    <t>&gt; 70 mm</t>
  </si>
  <si>
    <t xml:space="preserve">Factor to st, gr/t </t>
  </si>
  <si>
    <t>Input Color Gram</t>
  </si>
  <si>
    <t>dead leaf</t>
  </si>
  <si>
    <t>Lot test</t>
  </si>
  <si>
    <t>Organics</t>
  </si>
  <si>
    <r>
      <t xml:space="preserve">O-I Quality control CULLET </t>
    </r>
    <r>
      <rPr>
        <b/>
        <sz val="36"/>
        <rFont val="Arial"/>
        <family val="2"/>
      </rPr>
      <t xml:space="preserve">
Supplier data </t>
    </r>
  </si>
  <si>
    <t>100ppm</t>
  </si>
  <si>
    <t>5ppm</t>
  </si>
  <si>
    <t>Plastics seperate</t>
  </si>
  <si>
    <t>300ppm</t>
  </si>
  <si>
    <t>&lt;200pcs</t>
  </si>
  <si>
    <t>25ppm</t>
  </si>
  <si>
    <t>&lt; 5 mm</t>
  </si>
  <si>
    <t>&gt; 5 mm - &lt; 10 mm</t>
  </si>
  <si>
    <t xml:space="preserve">&lt; 5 mm </t>
  </si>
  <si>
    <t>Target zero</t>
  </si>
  <si>
    <t>Amber / mix</t>
  </si>
  <si>
    <t>Date</t>
  </si>
  <si>
    <t>Contamination</t>
  </si>
  <si>
    <t>UOM</t>
  </si>
  <si>
    <t>CSP</t>
  </si>
  <si>
    <t>pieces/ton</t>
  </si>
  <si>
    <t>gram/ton</t>
  </si>
  <si>
    <t xml:space="preserve">Opal </t>
  </si>
  <si>
    <t xml:space="preserve">Ferro </t>
  </si>
  <si>
    <t xml:space="preserve">Non ferro </t>
  </si>
  <si>
    <t xml:space="preserve">Organics  </t>
  </si>
  <si>
    <t>Plastics</t>
  </si>
  <si>
    <t>Pyro glass ceramics</t>
  </si>
  <si>
    <t xml:space="preserve">Pyro glass ceramics </t>
  </si>
  <si>
    <t>Sizing:</t>
  </si>
  <si>
    <t>Colour:</t>
  </si>
  <si>
    <t>Flint/half Flint</t>
  </si>
  <si>
    <t>Dead Leaf</t>
  </si>
  <si>
    <t>UK</t>
  </si>
  <si>
    <t>6. Color specification</t>
  </si>
  <si>
    <t>Non-Magnetic  (ppm / gr/ton)</t>
  </si>
  <si>
    <t>General remarks</t>
  </si>
  <si>
    <t>(half) flint</t>
  </si>
  <si>
    <t>Debrekers1</t>
  </si>
  <si>
    <t>Version 2023-01</t>
  </si>
  <si>
    <t>Alloa</t>
  </si>
  <si>
    <t>Sibelco Sheffield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</si>
</sst>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000%"/>
    <numFmt numFmtId="166" formatCode="0.0"/>
    <numFmt numFmtId="167" formatCode="dd/mm/yy;@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Helv"/>
    </font>
    <font>
      <sz val="20"/>
      <name val="Arial"/>
      <family val="2"/>
    </font>
    <font>
      <b/>
      <sz val="36"/>
      <name val="Arial"/>
      <family val="2"/>
    </font>
    <font>
      <b/>
      <sz val="26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sz val="8"/>
      <name val="Arial"/>
      <family val="2"/>
    </font>
    <font>
      <b/>
      <sz val="24"/>
      <name val="Arial"/>
      <family val="2"/>
    </font>
    <font>
      <b/>
      <sz val="14"/>
      <color theme="3"/>
      <name val="Arial"/>
      <family val="2"/>
    </font>
    <font>
      <b/>
      <sz val="10"/>
      <name val="Arial"/>
      <family val="2"/>
    </font>
    <font>
      <sz val="14"/>
      <color theme="3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2"/>
      <color theme="3"/>
      <name val="Arial"/>
      <family val="2"/>
    </font>
    <font>
      <sz val="11"/>
      <color rgb="FF00B050"/>
      <name val="Arial"/>
      <family val="2"/>
    </font>
    <font>
      <sz val="9"/>
      <name val="Arial"/>
      <family val="2"/>
    </font>
    <font>
      <sz val="14"/>
      <color rgb="FF0070C0"/>
      <name val="Arial"/>
      <family val="2"/>
    </font>
    <font>
      <b/>
      <sz val="12"/>
      <color rgb="FF00B050"/>
      <name val="Arial"/>
      <family val="2"/>
    </font>
    <font>
      <b/>
      <sz val="11"/>
      <color theme="3"/>
      <name val="Arial"/>
      <family val="2"/>
    </font>
    <font>
      <b/>
      <sz val="10"/>
      <color theme="3"/>
      <name val="Arial"/>
      <family val="2"/>
    </font>
    <font>
      <sz val="8"/>
      <name val="Arial"/>
      <family val="2"/>
    </font>
    <font>
      <sz val="14"/>
      <color rgb="FF00B050"/>
      <name val="Arial"/>
      <family val="2"/>
    </font>
    <font>
      <b/>
      <sz val="18"/>
      <name val="Arial"/>
      <family val="2"/>
    </font>
    <font>
      <b/>
      <sz val="20"/>
      <color theme="3"/>
      <name val="Arial"/>
      <family val="2"/>
    </font>
    <font>
      <b/>
      <sz val="16"/>
      <color theme="0" tint="-0.1499984740745262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3"/>
      <name val="Arial"/>
      <family val="2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6"/>
      <color theme="0" tint="-0.249977111117893"/>
      <name val="Arial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9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ashed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259">
    <xf numFmtId="0" fontId="0" fillId="0" borderId="0" xfId="0"/>
    <xf numFmtId="164" fontId="12" fillId="3" borderId="41" xfId="1" applyFont="1" applyFill="1" applyBorder="1" applyAlignment="1" applyProtection="1">
      <alignment horizontal="center" vertical="center" wrapText="1"/>
    </xf>
    <xf numFmtId="164" fontId="15" fillId="3" borderId="41" xfId="1" applyFont="1" applyFill="1" applyBorder="1" applyAlignment="1" applyProtection="1">
      <alignment horizontal="center" vertical="center" wrapText="1"/>
    </xf>
    <xf numFmtId="2" fontId="15" fillId="3" borderId="41" xfId="1" applyNumberFormat="1" applyFont="1" applyFill="1" applyBorder="1" applyAlignment="1" applyProtection="1">
      <alignment horizontal="center" vertical="center" wrapText="1"/>
    </xf>
    <xf numFmtId="164" fontId="8" fillId="3" borderId="65" xfId="1" applyFont="1" applyFill="1" applyBorder="1" applyAlignment="1" applyProtection="1">
      <alignment horizontal="center" vertical="center" wrapText="1"/>
    </xf>
    <xf numFmtId="164" fontId="12" fillId="3" borderId="66" xfId="1" applyFont="1" applyFill="1" applyBorder="1" applyAlignment="1" applyProtection="1">
      <alignment horizontal="center" vertical="center" wrapText="1"/>
    </xf>
    <xf numFmtId="164" fontId="15" fillId="3" borderId="66" xfId="1" applyFont="1" applyFill="1" applyBorder="1" applyAlignment="1" applyProtection="1">
      <alignment horizontal="center" vertical="center" wrapText="1"/>
    </xf>
    <xf numFmtId="2" fontId="15" fillId="3" borderId="66" xfId="1" applyNumberFormat="1" applyFont="1" applyFill="1" applyBorder="1" applyAlignment="1" applyProtection="1">
      <alignment horizontal="center" vertical="center" wrapText="1"/>
    </xf>
    <xf numFmtId="164" fontId="8" fillId="3" borderId="71" xfId="1" applyFont="1" applyFill="1" applyBorder="1" applyAlignment="1" applyProtection="1">
      <alignment horizontal="center" vertical="center" wrapText="1"/>
    </xf>
    <xf numFmtId="164" fontId="12" fillId="3" borderId="45" xfId="1" applyFont="1" applyFill="1" applyBorder="1" applyAlignment="1" applyProtection="1">
      <alignment horizontal="center" vertical="center" wrapText="1"/>
    </xf>
    <xf numFmtId="0" fontId="15" fillId="3" borderId="45" xfId="1" applyNumberFormat="1" applyFont="1" applyFill="1" applyBorder="1" applyAlignment="1" applyProtection="1">
      <alignment horizontal="center" vertical="center" wrapText="1"/>
    </xf>
    <xf numFmtId="2" fontId="19" fillId="3" borderId="45" xfId="1" applyNumberFormat="1" applyFont="1" applyFill="1" applyBorder="1" applyAlignment="1" applyProtection="1">
      <alignment horizontal="center" vertical="center" wrapText="1"/>
    </xf>
    <xf numFmtId="1" fontId="8" fillId="3" borderId="75" xfId="1" applyNumberFormat="1" applyFont="1" applyFill="1" applyBorder="1" applyAlignment="1" applyProtection="1">
      <alignment horizontal="center" vertical="center" wrapText="1"/>
    </xf>
    <xf numFmtId="164" fontId="15" fillId="3" borderId="71" xfId="1" applyFont="1" applyFill="1" applyBorder="1" applyAlignment="1" applyProtection="1">
      <alignment horizontal="center" vertical="center" wrapText="1"/>
    </xf>
    <xf numFmtId="2" fontId="20" fillId="3" borderId="19" xfId="1" applyNumberFormat="1" applyFont="1" applyFill="1" applyBorder="1" applyAlignment="1" applyProtection="1">
      <alignment horizontal="center" vertical="center" wrapText="1"/>
    </xf>
    <xf numFmtId="1" fontId="8" fillId="3" borderId="81" xfId="1" applyNumberFormat="1" applyFont="1" applyFill="1" applyBorder="1" applyAlignment="1" applyProtection="1">
      <alignment horizontal="center" vertical="center" wrapText="1"/>
    </xf>
    <xf numFmtId="166" fontId="8" fillId="3" borderId="65" xfId="1" applyNumberFormat="1" applyFont="1" applyFill="1" applyBorder="1" applyAlignment="1" applyProtection="1">
      <alignment horizontal="center" vertical="center" wrapText="1"/>
    </xf>
    <xf numFmtId="164" fontId="15" fillId="3" borderId="75" xfId="1" applyFont="1" applyFill="1" applyBorder="1" applyAlignment="1" applyProtection="1">
      <alignment horizontal="center" vertical="center" wrapText="1"/>
    </xf>
    <xf numFmtId="166" fontId="8" fillId="3" borderId="75" xfId="1" applyNumberFormat="1" applyFont="1" applyFill="1" applyBorder="1" applyAlignment="1" applyProtection="1">
      <alignment horizontal="center" vertical="center" wrapText="1"/>
    </xf>
    <xf numFmtId="0" fontId="15" fillId="5" borderId="45" xfId="1" applyNumberFormat="1" applyFont="1" applyFill="1" applyBorder="1" applyAlignment="1" applyProtection="1">
      <alignment horizontal="center" vertical="center" wrapText="1"/>
      <protection locked="0"/>
    </xf>
    <xf numFmtId="10" fontId="8" fillId="3" borderId="75" xfId="2" applyNumberFormat="1" applyFont="1" applyFill="1" applyBorder="1" applyAlignment="1" applyProtection="1">
      <alignment horizontal="center" vertical="center" wrapText="1"/>
    </xf>
    <xf numFmtId="2" fontId="15" fillId="3" borderId="19" xfId="1" applyNumberFormat="1" applyFont="1" applyFill="1" applyBorder="1" applyAlignment="1" applyProtection="1">
      <alignment horizontal="center" vertical="center" wrapText="1"/>
    </xf>
    <xf numFmtId="1" fontId="8" fillId="3" borderId="84" xfId="1" applyNumberFormat="1" applyFont="1" applyFill="1" applyBorder="1" applyAlignment="1" applyProtection="1">
      <alignment horizontal="center" vertical="center" wrapText="1"/>
    </xf>
    <xf numFmtId="0" fontId="20" fillId="5" borderId="76" xfId="1" applyNumberFormat="1" applyFont="1" applyFill="1" applyBorder="1" applyAlignment="1" applyProtection="1">
      <alignment horizontal="center" vertical="center" wrapText="1"/>
      <protection locked="0"/>
    </xf>
    <xf numFmtId="164" fontId="12" fillId="3" borderId="41" xfId="1" applyFont="1" applyFill="1" applyBorder="1" applyAlignment="1" applyProtection="1">
      <alignment horizontal="center" vertical="center" shrinkToFit="1"/>
    </xf>
    <xf numFmtId="164" fontId="12" fillId="3" borderId="45" xfId="1" applyFont="1" applyFill="1" applyBorder="1" applyAlignment="1" applyProtection="1">
      <alignment horizontal="center" vertical="center" shrinkToFit="1"/>
    </xf>
    <xf numFmtId="0" fontId="15" fillId="0" borderId="45" xfId="1" applyNumberFormat="1" applyFont="1" applyFill="1" applyBorder="1" applyAlignment="1" applyProtection="1">
      <alignment horizontal="center" vertical="center" wrapText="1"/>
      <protection locked="0"/>
    </xf>
    <xf numFmtId="164" fontId="12" fillId="3" borderId="66" xfId="1" applyFont="1" applyFill="1" applyBorder="1" applyAlignment="1" applyProtection="1">
      <alignment horizontal="center" vertical="center" shrinkToFit="1"/>
    </xf>
    <xf numFmtId="2" fontId="24" fillId="3" borderId="45" xfId="1" applyNumberFormat="1" applyFont="1" applyFill="1" applyBorder="1" applyAlignment="1" applyProtection="1">
      <alignment horizontal="center" vertical="center" wrapText="1"/>
    </xf>
    <xf numFmtId="2" fontId="10" fillId="3" borderId="19" xfId="1" applyNumberFormat="1" applyFont="1" applyFill="1" applyBorder="1" applyAlignment="1" applyProtection="1">
      <alignment horizontal="center" vertical="center" wrapText="1"/>
    </xf>
    <xf numFmtId="2" fontId="15" fillId="5" borderId="48" xfId="1" applyNumberFormat="1" applyFont="1" applyFill="1" applyBorder="1" applyAlignment="1" applyProtection="1">
      <alignment horizontal="center" vertical="center" wrapText="1"/>
      <protection locked="0"/>
    </xf>
    <xf numFmtId="0" fontId="20" fillId="0" borderId="45" xfId="1" applyNumberFormat="1" applyFont="1" applyFill="1" applyBorder="1" applyAlignment="1" applyProtection="1">
      <alignment horizontal="center" vertical="center" wrapText="1"/>
      <protection locked="0"/>
    </xf>
    <xf numFmtId="0" fontId="8" fillId="5" borderId="37" xfId="3" applyFont="1" applyFill="1" applyBorder="1" applyAlignment="1" applyProtection="1">
      <alignment horizontal="center" vertical="center"/>
      <protection locked="0"/>
    </xf>
    <xf numFmtId="2" fontId="15" fillId="3" borderId="45" xfId="1" applyNumberFormat="1" applyFont="1" applyFill="1" applyBorder="1" applyAlignment="1" applyProtection="1">
      <alignment horizontal="center" vertical="center" wrapText="1"/>
    </xf>
    <xf numFmtId="2" fontId="8" fillId="3" borderId="75" xfId="1" applyNumberFormat="1" applyFont="1" applyFill="1" applyBorder="1" applyAlignment="1" applyProtection="1">
      <alignment horizontal="center" vertical="center" wrapText="1"/>
    </xf>
    <xf numFmtId="0" fontId="15" fillId="3" borderId="76" xfId="1" applyNumberFormat="1" applyFont="1" applyFill="1" applyBorder="1" applyAlignment="1" applyProtection="1">
      <alignment horizontal="center" vertical="center" wrapText="1"/>
    </xf>
    <xf numFmtId="2" fontId="24" fillId="3" borderId="76" xfId="1" applyNumberFormat="1" applyFont="1" applyFill="1" applyBorder="1" applyAlignment="1" applyProtection="1">
      <alignment horizontal="center" vertical="center" wrapText="1"/>
    </xf>
    <xf numFmtId="1" fontId="8" fillId="5" borderId="0" xfId="1" applyNumberFormat="1" applyFont="1" applyFill="1" applyBorder="1" applyAlignment="1" applyProtection="1">
      <alignment horizontal="center" vertical="center" wrapText="1"/>
    </xf>
    <xf numFmtId="0" fontId="33" fillId="3" borderId="45" xfId="1" applyNumberFormat="1" applyFont="1" applyFill="1" applyBorder="1" applyAlignment="1" applyProtection="1">
      <alignment horizontal="center" vertical="center" wrapText="1"/>
    </xf>
    <xf numFmtId="164" fontId="23" fillId="6" borderId="83" xfId="1" applyFont="1" applyFill="1" applyBorder="1" applyAlignment="1" applyProtection="1">
      <alignment horizontal="center" vertical="center" wrapText="1" shrinkToFit="1"/>
    </xf>
    <xf numFmtId="164" fontId="12" fillId="6" borderId="76" xfId="1" applyFont="1" applyFill="1" applyBorder="1" applyAlignment="1" applyProtection="1">
      <alignment horizontal="center" vertical="center" wrapText="1"/>
    </xf>
    <xf numFmtId="164" fontId="12" fillId="6" borderId="45" xfId="1" applyFont="1" applyFill="1" applyBorder="1" applyAlignment="1" applyProtection="1">
      <alignment horizontal="center" vertical="center" wrapText="1"/>
    </xf>
    <xf numFmtId="164" fontId="22" fillId="3" borderId="83" xfId="1" applyFont="1" applyFill="1" applyBorder="1" applyAlignment="1" applyProtection="1">
      <alignment horizontal="center" vertical="center" wrapText="1" shrinkToFit="1"/>
    </xf>
    <xf numFmtId="9" fontId="12" fillId="6" borderId="45" xfId="2" applyFont="1" applyFill="1" applyBorder="1" applyAlignment="1" applyProtection="1">
      <alignment horizontal="center" vertical="center" shrinkToFit="1"/>
    </xf>
    <xf numFmtId="9" fontId="12" fillId="6" borderId="76" xfId="1" applyNumberFormat="1" applyFont="1" applyFill="1" applyBorder="1" applyAlignment="1" applyProtection="1">
      <alignment horizontal="center" vertical="center" shrinkToFit="1"/>
    </xf>
    <xf numFmtId="14" fontId="8" fillId="5" borderId="9" xfId="3" applyNumberFormat="1" applyFont="1" applyFill="1" applyBorder="1" applyAlignment="1" applyProtection="1">
      <alignment horizontal="center" vertical="center"/>
      <protection locked="0"/>
    </xf>
    <xf numFmtId="10" fontId="6" fillId="3" borderId="89" xfId="2" applyNumberFormat="1" applyFont="1" applyFill="1" applyBorder="1" applyAlignment="1" applyProtection="1">
      <alignment horizontal="center" vertical="center" wrapText="1" shrinkToFit="1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0" fontId="35" fillId="0" borderId="0" xfId="0" applyFont="1" applyAlignment="1">
      <alignment vertical="top"/>
    </xf>
    <xf numFmtId="0" fontId="34" fillId="0" borderId="0" xfId="0" applyFont="1" applyAlignment="1">
      <alignment horizontal="left" vertical="center"/>
    </xf>
    <xf numFmtId="167" fontId="0" fillId="0" borderId="0" xfId="0" applyNumberFormat="1"/>
    <xf numFmtId="2" fontId="0" fillId="0" borderId="0" xfId="0" applyNumberFormat="1"/>
    <xf numFmtId="10" fontId="0" fillId="0" borderId="0" xfId="0" applyNumberFormat="1"/>
    <xf numFmtId="10" fontId="6" fillId="3" borderId="88" xfId="2" applyNumberFormat="1" applyFont="1" applyFill="1" applyBorder="1" applyAlignment="1" applyProtection="1">
      <alignment horizontal="center" vertical="center" wrapText="1" shrinkToFit="1"/>
    </xf>
    <xf numFmtId="0" fontId="15" fillId="0" borderId="73" xfId="3" applyFont="1" applyBorder="1" applyAlignment="1" applyProtection="1">
      <alignment horizontal="center" vertical="center"/>
      <protection locked="0"/>
    </xf>
    <xf numFmtId="0" fontId="20" fillId="5" borderId="45" xfId="1" applyNumberFormat="1" applyFont="1" applyFill="1" applyBorder="1" applyAlignment="1" applyProtection="1">
      <alignment horizontal="center" vertical="center" wrapText="1"/>
    </xf>
    <xf numFmtId="10" fontId="6" fillId="3" borderId="96" xfId="2" applyNumberFormat="1" applyFont="1" applyFill="1" applyBorder="1" applyAlignment="1" applyProtection="1">
      <alignment horizontal="center" vertical="center" wrapText="1" shrinkToFit="1"/>
    </xf>
    <xf numFmtId="0" fontId="8" fillId="5" borderId="18" xfId="3" applyFont="1" applyFill="1" applyBorder="1" applyAlignment="1" applyProtection="1">
      <alignment horizontal="center" vertical="center"/>
      <protection locked="0"/>
    </xf>
    <xf numFmtId="0" fontId="8" fillId="5" borderId="24" xfId="3" applyFont="1" applyFill="1" applyBorder="1" applyAlignment="1" applyProtection="1">
      <alignment horizontal="center" vertical="center" shrinkToFit="1"/>
      <protection locked="0"/>
    </xf>
    <xf numFmtId="2" fontId="15" fillId="0" borderId="45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3" applyFont="1" applyAlignment="1">
      <alignment vertical="center"/>
    </xf>
    <xf numFmtId="0" fontId="10" fillId="0" borderId="87" xfId="3" applyFont="1" applyBorder="1" applyAlignment="1">
      <alignment horizontal="center" vertical="center"/>
    </xf>
    <xf numFmtId="0" fontId="6" fillId="0" borderId="0" xfId="3" applyFont="1" applyAlignment="1">
      <alignment vertical="center"/>
    </xf>
    <xf numFmtId="0" fontId="7" fillId="3" borderId="4" xfId="3" applyFont="1" applyFill="1" applyBorder="1" applyAlignment="1">
      <alignment horizontal="left" vertical="center"/>
    </xf>
    <xf numFmtId="0" fontId="8" fillId="3" borderId="5" xfId="3" applyFont="1" applyFill="1" applyBorder="1" applyAlignment="1">
      <alignment horizontal="left" vertical="center"/>
    </xf>
    <xf numFmtId="0" fontId="8" fillId="3" borderId="6" xfId="3" applyFont="1" applyFill="1" applyBorder="1" applyAlignment="1">
      <alignment horizontal="left" vertical="center"/>
    </xf>
    <xf numFmtId="0" fontId="8" fillId="4" borderId="11" xfId="3" applyFont="1" applyFill="1" applyBorder="1" applyAlignment="1">
      <alignment horizontal="left" vertical="center"/>
    </xf>
    <xf numFmtId="0" fontId="7" fillId="3" borderId="14" xfId="3" applyFont="1" applyFill="1" applyBorder="1" applyAlignment="1">
      <alignment horizontal="left" vertical="center"/>
    </xf>
    <xf numFmtId="0" fontId="8" fillId="3" borderId="15" xfId="3" applyFont="1" applyFill="1" applyBorder="1" applyAlignment="1">
      <alignment horizontal="left" vertical="center"/>
    </xf>
    <xf numFmtId="0" fontId="8" fillId="3" borderId="17" xfId="3" applyFont="1" applyFill="1" applyBorder="1" applyAlignment="1">
      <alignment vertical="center"/>
    </xf>
    <xf numFmtId="0" fontId="36" fillId="4" borderId="19" xfId="3" applyFont="1" applyFill="1" applyBorder="1" applyAlignment="1">
      <alignment horizontal="left" vertical="center"/>
    </xf>
    <xf numFmtId="2" fontId="9" fillId="4" borderId="20" xfId="3" applyNumberFormat="1" applyFont="1" applyFill="1" applyBorder="1" applyAlignment="1">
      <alignment vertical="center"/>
    </xf>
    <xf numFmtId="0" fontId="8" fillId="3" borderId="21" xfId="3" applyFont="1" applyFill="1" applyBorder="1" applyAlignment="1">
      <alignment horizontal="left" vertical="center"/>
    </xf>
    <xf numFmtId="0" fontId="8" fillId="3" borderId="23" xfId="3" applyFont="1" applyFill="1" applyBorder="1" applyAlignment="1">
      <alignment vertical="center"/>
    </xf>
    <xf numFmtId="0" fontId="8" fillId="3" borderId="15" xfId="3" applyFont="1" applyFill="1" applyBorder="1" applyAlignment="1">
      <alignment vertical="center"/>
    </xf>
    <xf numFmtId="0" fontId="8" fillId="4" borderId="19" xfId="3" applyFont="1" applyFill="1" applyBorder="1" applyAlignment="1">
      <alignment horizontal="center" vertical="center"/>
    </xf>
    <xf numFmtId="2" fontId="8" fillId="4" borderId="20" xfId="3" applyNumberFormat="1" applyFont="1" applyFill="1" applyBorder="1" applyAlignment="1">
      <alignment horizontal="center" vertical="center"/>
    </xf>
    <xf numFmtId="0" fontId="7" fillId="3" borderId="27" xfId="3" applyFont="1" applyFill="1" applyBorder="1" applyAlignment="1">
      <alignment horizontal="left" vertical="center"/>
    </xf>
    <xf numFmtId="0" fontId="8" fillId="3" borderId="28" xfId="3" applyFont="1" applyFill="1" applyBorder="1" applyAlignment="1">
      <alignment vertical="center"/>
    </xf>
    <xf numFmtId="0" fontId="7" fillId="3" borderId="32" xfId="3" applyFont="1" applyFill="1" applyBorder="1" applyAlignment="1">
      <alignment horizontal="left" vertical="center"/>
    </xf>
    <xf numFmtId="14" fontId="8" fillId="3" borderId="10" xfId="3" applyNumberFormat="1" applyFont="1" applyFill="1" applyBorder="1" applyAlignment="1">
      <alignment horizontal="center" vertical="center"/>
    </xf>
    <xf numFmtId="0" fontId="8" fillId="4" borderId="19" xfId="3" applyFont="1" applyFill="1" applyBorder="1" applyAlignment="1">
      <alignment vertical="center"/>
    </xf>
    <xf numFmtId="0" fontId="8" fillId="3" borderId="90" xfId="3" applyFont="1" applyFill="1" applyBorder="1" applyAlignment="1">
      <alignment horizontal="center" vertical="center"/>
    </xf>
    <xf numFmtId="0" fontId="0" fillId="0" borderId="59" xfId="0" applyBorder="1"/>
    <xf numFmtId="0" fontId="0" fillId="0" borderId="84" xfId="0" applyBorder="1"/>
    <xf numFmtId="0" fontId="7" fillId="3" borderId="38" xfId="3" applyFont="1" applyFill="1" applyBorder="1" applyAlignment="1">
      <alignment horizontal="left" vertical="center"/>
    </xf>
    <xf numFmtId="0" fontId="0" fillId="0" borderId="63" xfId="0" applyBorder="1"/>
    <xf numFmtId="0" fontId="7" fillId="3" borderId="41" xfId="3" applyFont="1" applyFill="1" applyBorder="1" applyAlignment="1">
      <alignment horizontal="left" vertical="center"/>
    </xf>
    <xf numFmtId="0" fontId="8" fillId="3" borderId="42" xfId="3" applyFont="1" applyFill="1" applyBorder="1" applyAlignment="1">
      <alignment vertical="center"/>
    </xf>
    <xf numFmtId="0" fontId="8" fillId="3" borderId="42" xfId="3" applyFont="1" applyFill="1" applyBorder="1" applyAlignment="1">
      <alignment horizontal="right" vertical="center"/>
    </xf>
    <xf numFmtId="2" fontId="10" fillId="3" borderId="43" xfId="3" applyNumberFormat="1" applyFont="1" applyFill="1" applyBorder="1" applyAlignment="1">
      <alignment vertical="center"/>
    </xf>
    <xf numFmtId="0" fontId="7" fillId="3" borderId="45" xfId="3" applyFont="1" applyFill="1" applyBorder="1" applyAlignment="1">
      <alignment horizontal="left" vertical="center"/>
    </xf>
    <xf numFmtId="0" fontId="8" fillId="3" borderId="46" xfId="3" applyFont="1" applyFill="1" applyBorder="1" applyAlignment="1">
      <alignment vertical="center"/>
    </xf>
    <xf numFmtId="0" fontId="7" fillId="3" borderId="46" xfId="3" applyFont="1" applyFill="1" applyBorder="1" applyAlignment="1">
      <alignment horizontal="right" vertical="center"/>
    </xf>
    <xf numFmtId="0" fontId="8" fillId="3" borderId="47" xfId="3" applyFont="1" applyFill="1" applyBorder="1" applyAlignment="1">
      <alignment vertical="center"/>
    </xf>
    <xf numFmtId="0" fontId="7" fillId="3" borderId="48" xfId="3" applyFont="1" applyFill="1" applyBorder="1" applyAlignment="1">
      <alignment horizontal="left" vertical="center"/>
    </xf>
    <xf numFmtId="0" fontId="8" fillId="3" borderId="49" xfId="3" applyFont="1" applyFill="1" applyBorder="1" applyAlignment="1">
      <alignment vertical="center"/>
    </xf>
    <xf numFmtId="0" fontId="7" fillId="3" borderId="49" xfId="3" applyFont="1" applyFill="1" applyBorder="1" applyAlignment="1">
      <alignment horizontal="right" vertical="center"/>
    </xf>
    <xf numFmtId="0" fontId="8" fillId="3" borderId="50" xfId="3" applyFont="1" applyFill="1" applyBorder="1" applyAlignment="1">
      <alignment vertical="center"/>
    </xf>
    <xf numFmtId="0" fontId="7" fillId="3" borderId="51" xfId="3" applyFont="1" applyFill="1" applyBorder="1" applyAlignment="1">
      <alignment horizontal="left" vertical="center"/>
    </xf>
    <xf numFmtId="0" fontId="8" fillId="3" borderId="52" xfId="3" applyFont="1" applyFill="1" applyBorder="1" applyAlignment="1">
      <alignment vertical="center"/>
    </xf>
    <xf numFmtId="0" fontId="7" fillId="3" borderId="52" xfId="3" applyFont="1" applyFill="1" applyBorder="1" applyAlignment="1">
      <alignment horizontal="right" vertical="center"/>
    </xf>
    <xf numFmtId="0" fontId="8" fillId="3" borderId="53" xfId="3" applyFont="1" applyFill="1" applyBorder="1" applyAlignment="1">
      <alignment vertical="center"/>
    </xf>
    <xf numFmtId="0" fontId="6" fillId="3" borderId="0" xfId="3" applyFont="1" applyFill="1" applyAlignment="1">
      <alignment vertical="center"/>
    </xf>
    <xf numFmtId="0" fontId="8" fillId="3" borderId="15" xfId="3" applyFont="1" applyFill="1" applyBorder="1" applyAlignment="1">
      <alignment horizontal="right" vertical="center"/>
    </xf>
    <xf numFmtId="0" fontId="7" fillId="3" borderId="35" xfId="3" applyFont="1" applyFill="1" applyBorder="1" applyAlignment="1">
      <alignment horizontal="center" vertical="center"/>
    </xf>
    <xf numFmtId="0" fontId="6" fillId="0" borderId="0" xfId="3" applyFont="1" applyAlignment="1">
      <alignment vertical="center" wrapText="1"/>
    </xf>
    <xf numFmtId="0" fontId="13" fillId="4" borderId="60" xfId="3" applyFont="1" applyFill="1" applyBorder="1" applyAlignment="1">
      <alignment horizontal="center" vertical="center" wrapText="1"/>
    </xf>
    <xf numFmtId="2" fontId="13" fillId="4" borderId="60" xfId="3" applyNumberFormat="1" applyFont="1" applyFill="1" applyBorder="1" applyAlignment="1">
      <alignment horizontal="center" vertical="center" wrapText="1"/>
    </xf>
    <xf numFmtId="0" fontId="7" fillId="4" borderId="63" xfId="3" applyFont="1" applyFill="1" applyBorder="1" applyAlignment="1">
      <alignment horizontal="center" vertical="center" wrapText="1"/>
    </xf>
    <xf numFmtId="0" fontId="0" fillId="5" borderId="0" xfId="0" applyFill="1"/>
    <xf numFmtId="0" fontId="14" fillId="3" borderId="64" xfId="3" applyFont="1" applyFill="1" applyBorder="1" applyAlignment="1">
      <alignment horizontal="center" vertical="center"/>
    </xf>
    <xf numFmtId="0" fontId="8" fillId="3" borderId="66" xfId="3" applyFont="1" applyFill="1" applyBorder="1" applyAlignment="1">
      <alignment horizontal="center" vertical="center"/>
    </xf>
    <xf numFmtId="0" fontId="12" fillId="3" borderId="67" xfId="3" applyFont="1" applyFill="1" applyBorder="1" applyAlignment="1">
      <alignment horizontal="left" vertical="center"/>
    </xf>
    <xf numFmtId="0" fontId="12" fillId="3" borderId="47" xfId="3" applyFont="1" applyFill="1" applyBorder="1" applyAlignment="1">
      <alignment horizontal="left" vertical="center"/>
    </xf>
    <xf numFmtId="0" fontId="16" fillId="3" borderId="45" xfId="3" applyFont="1" applyFill="1" applyBorder="1" applyAlignment="1">
      <alignment horizontal="center" vertical="center"/>
    </xf>
    <xf numFmtId="0" fontId="18" fillId="3" borderId="72" xfId="3" applyFont="1" applyFill="1" applyBorder="1" applyAlignment="1">
      <alignment horizontal="left" vertical="center"/>
    </xf>
    <xf numFmtId="0" fontId="14" fillId="3" borderId="70" xfId="3" applyFont="1" applyFill="1" applyBorder="1" applyAlignment="1">
      <alignment horizontal="center" vertical="center"/>
    </xf>
    <xf numFmtId="0" fontId="14" fillId="3" borderId="46" xfId="3" applyFont="1" applyFill="1" applyBorder="1" applyAlignment="1">
      <alignment horizontal="center" vertical="center"/>
    </xf>
    <xf numFmtId="0" fontId="14" fillId="3" borderId="47" xfId="3" applyFont="1" applyFill="1" applyBorder="1" applyAlignment="1">
      <alignment horizontal="center" vertical="center"/>
    </xf>
    <xf numFmtId="0" fontId="14" fillId="3" borderId="74" xfId="3" applyFont="1" applyFill="1" applyBorder="1" applyAlignment="1">
      <alignment horizontal="center" vertical="center"/>
    </xf>
    <xf numFmtId="0" fontId="15" fillId="3" borderId="76" xfId="3" applyFont="1" applyFill="1" applyBorder="1" applyAlignment="1">
      <alignment vertical="center"/>
    </xf>
    <xf numFmtId="0" fontId="18" fillId="3" borderId="67" xfId="3" applyFont="1" applyFill="1" applyBorder="1" applyAlignment="1">
      <alignment horizontal="left" vertical="center"/>
    </xf>
    <xf numFmtId="0" fontId="14" fillId="3" borderId="68" xfId="3" applyFont="1" applyFill="1" applyBorder="1" applyAlignment="1">
      <alignment horizontal="center" vertical="center"/>
    </xf>
    <xf numFmtId="0" fontId="14" fillId="3" borderId="67" xfId="3" applyFont="1" applyFill="1" applyBorder="1" applyAlignment="1">
      <alignment horizontal="center" vertical="center"/>
    </xf>
    <xf numFmtId="0" fontId="14" fillId="3" borderId="78" xfId="3" applyFont="1" applyFill="1" applyBorder="1" applyAlignment="1">
      <alignment horizontal="center" vertical="center"/>
    </xf>
    <xf numFmtId="0" fontId="14" fillId="3" borderId="79" xfId="3" applyFont="1" applyFill="1" applyBorder="1" applyAlignment="1">
      <alignment horizontal="center" vertical="center"/>
    </xf>
    <xf numFmtId="0" fontId="12" fillId="3" borderId="45" xfId="3" applyFont="1" applyFill="1" applyBorder="1" applyAlignment="1">
      <alignment horizontal="center" vertical="center"/>
    </xf>
    <xf numFmtId="0" fontId="12" fillId="3" borderId="46" xfId="3" applyFont="1" applyFill="1" applyBorder="1" applyAlignment="1">
      <alignment horizontal="left" vertical="center"/>
    </xf>
    <xf numFmtId="0" fontId="16" fillId="3" borderId="82" xfId="3" applyFont="1" applyFill="1" applyBorder="1" applyAlignment="1">
      <alignment vertical="center"/>
    </xf>
    <xf numFmtId="0" fontId="12" fillId="3" borderId="4" xfId="3" applyFont="1" applyFill="1" applyBorder="1" applyAlignment="1">
      <alignment horizontal="center" vertical="center"/>
    </xf>
    <xf numFmtId="0" fontId="18" fillId="3" borderId="6" xfId="3" applyFont="1" applyFill="1" applyBorder="1" applyAlignment="1">
      <alignment horizontal="left" vertical="center"/>
    </xf>
    <xf numFmtId="0" fontId="12" fillId="3" borderId="6" xfId="3" applyFont="1" applyFill="1" applyBorder="1" applyAlignment="1">
      <alignment horizontal="left" vertical="center"/>
    </xf>
    <xf numFmtId="0" fontId="12" fillId="3" borderId="76" xfId="3" applyFont="1" applyFill="1" applyBorder="1" applyAlignment="1">
      <alignment horizontal="center" vertical="center"/>
    </xf>
    <xf numFmtId="0" fontId="17" fillId="3" borderId="45" xfId="3" applyFont="1" applyFill="1" applyBorder="1" applyAlignment="1">
      <alignment horizontal="center" vertical="center"/>
    </xf>
    <xf numFmtId="0" fontId="17" fillId="3" borderId="46" xfId="3" applyFont="1" applyFill="1" applyBorder="1" applyAlignment="1">
      <alignment horizontal="left" vertical="center"/>
    </xf>
    <xf numFmtId="0" fontId="21" fillId="3" borderId="46" xfId="3" applyFont="1" applyFill="1" applyBorder="1" applyAlignment="1">
      <alignment horizontal="left" vertical="center"/>
    </xf>
    <xf numFmtId="0" fontId="31" fillId="3" borderId="46" xfId="3" applyFont="1" applyFill="1" applyBorder="1" applyAlignment="1">
      <alignment horizontal="center" vertical="center"/>
    </xf>
    <xf numFmtId="0" fontId="12" fillId="3" borderId="46" xfId="3" applyFont="1" applyFill="1" applyBorder="1" applyAlignment="1">
      <alignment vertical="center"/>
    </xf>
    <xf numFmtId="0" fontId="8" fillId="3" borderId="41" xfId="3" applyFont="1" applyFill="1" applyBorder="1" applyAlignment="1">
      <alignment vertical="center"/>
    </xf>
    <xf numFmtId="0" fontId="12" fillId="3" borderId="66" xfId="3" applyFont="1" applyFill="1" applyBorder="1" applyAlignment="1">
      <alignment horizontal="center" vertical="center"/>
    </xf>
    <xf numFmtId="0" fontId="15" fillId="3" borderId="73" xfId="3" applyFont="1" applyFill="1" applyBorder="1" applyAlignment="1">
      <alignment horizontal="center" vertical="center"/>
    </xf>
    <xf numFmtId="0" fontId="15" fillId="3" borderId="85" xfId="3" applyFont="1" applyFill="1" applyBorder="1" applyAlignment="1">
      <alignment horizontal="center" vertical="center"/>
    </xf>
    <xf numFmtId="0" fontId="8" fillId="3" borderId="19" xfId="3" applyFont="1" applyFill="1" applyBorder="1" applyAlignment="1">
      <alignment horizontal="center" vertical="center"/>
    </xf>
    <xf numFmtId="0" fontId="16" fillId="3" borderId="0" xfId="3" applyFont="1" applyFill="1" applyAlignment="1">
      <alignment horizontal="left" vertical="center"/>
    </xf>
    <xf numFmtId="0" fontId="8" fillId="3" borderId="1" xfId="3" applyFont="1" applyFill="1" applyBorder="1" applyAlignment="1">
      <alignment horizontal="center" vertical="center"/>
    </xf>
    <xf numFmtId="0" fontId="16" fillId="3" borderId="2" xfId="3" applyFont="1" applyFill="1" applyBorder="1" applyAlignment="1">
      <alignment horizontal="left" vertical="center"/>
    </xf>
    <xf numFmtId="0" fontId="15" fillId="3" borderId="97" xfId="3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2" fontId="37" fillId="0" borderId="13" xfId="3" applyNumberFormat="1" applyFont="1" applyBorder="1" applyAlignment="1">
      <alignment horizontal="center" vertical="center"/>
    </xf>
    <xf numFmtId="0" fontId="38" fillId="0" borderId="3" xfId="0" applyFont="1" applyBorder="1" applyAlignment="1">
      <alignment horizontal="center" vertical="center" wrapText="1"/>
    </xf>
    <xf numFmtId="0" fontId="4" fillId="5" borderId="2" xfId="3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" xfId="0" applyBorder="1"/>
    <xf numFmtId="0" fontId="0" fillId="0" borderId="2" xfId="0" applyBorder="1"/>
    <xf numFmtId="0" fontId="8" fillId="3" borderId="39" xfId="3" applyFont="1" applyFill="1" applyBorder="1" applyAlignment="1">
      <alignment vertical="center"/>
    </xf>
    <xf numFmtId="0" fontId="8" fillId="3" borderId="40" xfId="3" applyFont="1" applyFill="1" applyBorder="1" applyAlignment="1">
      <alignment vertical="center"/>
    </xf>
    <xf numFmtId="0" fontId="8" fillId="5" borderId="25" xfId="3" applyFont="1" applyFill="1" applyBorder="1" applyAlignment="1" applyProtection="1">
      <alignment horizontal="center" vertical="center"/>
      <protection locked="0"/>
    </xf>
    <xf numFmtId="0" fontId="8" fillId="5" borderId="26" xfId="3" applyFont="1" applyFill="1" applyBorder="1" applyAlignment="1" applyProtection="1">
      <alignment horizontal="center" vertical="center"/>
      <protection locked="0"/>
    </xf>
    <xf numFmtId="0" fontId="9" fillId="4" borderId="19" xfId="3" applyFont="1" applyFill="1" applyBorder="1" applyAlignment="1">
      <alignment horizontal="right" vertical="center"/>
    </xf>
    <xf numFmtId="0" fontId="9" fillId="4" borderId="20" xfId="3" applyFont="1" applyFill="1" applyBorder="1" applyAlignment="1">
      <alignment horizontal="right" vertical="center"/>
    </xf>
    <xf numFmtId="1" fontId="8" fillId="5" borderId="44" xfId="3" applyNumberFormat="1" applyFont="1" applyFill="1" applyBorder="1" applyAlignment="1" applyProtection="1">
      <alignment horizontal="center" vertical="center"/>
      <protection locked="0"/>
    </xf>
    <xf numFmtId="1" fontId="8" fillId="5" borderId="91" xfId="3" applyNumberFormat="1" applyFont="1" applyFill="1" applyBorder="1" applyAlignment="1" applyProtection="1">
      <alignment horizontal="center" vertical="center"/>
      <protection locked="0"/>
    </xf>
    <xf numFmtId="2" fontId="8" fillId="3" borderId="45" xfId="1" applyNumberFormat="1" applyFont="1" applyFill="1" applyBorder="1" applyAlignment="1" applyProtection="1">
      <alignment horizontal="center" vertical="center" wrapText="1"/>
    </xf>
    <xf numFmtId="2" fontId="32" fillId="3" borderId="92" xfId="0" applyNumberFormat="1" applyFont="1" applyFill="1" applyBorder="1" applyAlignment="1">
      <alignment horizontal="center" vertical="center"/>
    </xf>
    <xf numFmtId="0" fontId="8" fillId="3" borderId="35" xfId="3" applyFont="1" applyFill="1" applyBorder="1" applyAlignment="1">
      <alignment vertical="center"/>
    </xf>
    <xf numFmtId="0" fontId="8" fillId="3" borderId="36" xfId="3" applyFont="1" applyFill="1" applyBorder="1" applyAlignment="1">
      <alignment vertical="center"/>
    </xf>
    <xf numFmtId="0" fontId="8" fillId="5" borderId="37" xfId="3" applyFont="1" applyFill="1" applyBorder="1" applyAlignment="1" applyProtection="1">
      <alignment horizontal="center" vertical="center"/>
      <protection locked="0"/>
    </xf>
    <xf numFmtId="0" fontId="8" fillId="5" borderId="24" xfId="3" applyFont="1" applyFill="1" applyBorder="1" applyAlignment="1" applyProtection="1">
      <alignment horizontal="center" vertical="center"/>
      <protection locked="0"/>
    </xf>
    <xf numFmtId="0" fontId="5" fillId="2" borderId="60" xfId="3" applyFont="1" applyFill="1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8" fillId="5" borderId="16" xfId="3" applyFont="1" applyFill="1" applyBorder="1" applyAlignment="1" applyProtection="1">
      <alignment vertical="center" wrapText="1"/>
      <protection locked="0"/>
    </xf>
    <xf numFmtId="0" fontId="8" fillId="5" borderId="15" xfId="3" applyFont="1" applyFill="1" applyBorder="1" applyAlignment="1" applyProtection="1">
      <alignment vertical="center" wrapText="1"/>
      <protection locked="0"/>
    </xf>
    <xf numFmtId="0" fontId="6" fillId="4" borderId="25" xfId="3" applyFont="1" applyFill="1" applyBorder="1" applyAlignment="1">
      <alignment horizontal="center" vertical="center"/>
    </xf>
    <xf numFmtId="0" fontId="6" fillId="4" borderId="26" xfId="3" applyFont="1" applyFill="1" applyBorder="1" applyAlignment="1">
      <alignment horizontal="center" vertical="center"/>
    </xf>
    <xf numFmtId="0" fontId="6" fillId="4" borderId="30" xfId="3" applyFont="1" applyFill="1" applyBorder="1" applyAlignment="1">
      <alignment horizontal="center" vertical="center"/>
    </xf>
    <xf numFmtId="0" fontId="6" fillId="4" borderId="31" xfId="3" applyFont="1" applyFill="1" applyBorder="1" applyAlignment="1">
      <alignment horizontal="center" vertical="center"/>
    </xf>
    <xf numFmtId="0" fontId="8" fillId="5" borderId="29" xfId="3" applyFont="1" applyFill="1" applyBorder="1" applyAlignment="1" applyProtection="1">
      <alignment vertical="center" wrapText="1"/>
      <protection locked="0"/>
    </xf>
    <xf numFmtId="0" fontId="8" fillId="5" borderId="28" xfId="3" applyFont="1" applyFill="1" applyBorder="1" applyAlignment="1" applyProtection="1">
      <alignment vertical="center" wrapText="1"/>
      <protection locked="0"/>
    </xf>
    <xf numFmtId="0" fontId="8" fillId="3" borderId="33" xfId="3" applyFont="1" applyFill="1" applyBorder="1" applyAlignment="1">
      <alignment vertical="center"/>
    </xf>
    <xf numFmtId="0" fontId="8" fillId="3" borderId="34" xfId="3" applyFont="1" applyFill="1" applyBorder="1" applyAlignment="1">
      <alignment vertical="center"/>
    </xf>
    <xf numFmtId="0" fontId="5" fillId="2" borderId="1" xfId="3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8" fillId="5" borderId="7" xfId="3" applyFont="1" applyFill="1" applyBorder="1" applyAlignment="1" applyProtection="1">
      <alignment vertical="center"/>
      <protection locked="0"/>
    </xf>
    <xf numFmtId="0" fontId="8" fillId="5" borderId="8" xfId="3" applyFont="1" applyFill="1" applyBorder="1" applyAlignment="1" applyProtection="1">
      <alignment vertical="center"/>
      <protection locked="0"/>
    </xf>
    <xf numFmtId="0" fontId="8" fillId="4" borderId="9" xfId="3" applyFont="1" applyFill="1" applyBorder="1" applyAlignment="1">
      <alignment horizontal="center" vertical="center"/>
    </xf>
    <xf numFmtId="0" fontId="8" fillId="4" borderId="10" xfId="3" applyFont="1" applyFill="1" applyBorder="1" applyAlignment="1">
      <alignment horizontal="center" vertical="center"/>
    </xf>
    <xf numFmtId="0" fontId="8" fillId="5" borderId="22" xfId="3" applyFont="1" applyFill="1" applyBorder="1" applyAlignment="1" applyProtection="1">
      <alignment vertical="center" wrapText="1"/>
      <protection locked="0"/>
    </xf>
    <xf numFmtId="0" fontId="8" fillId="5" borderId="6" xfId="3" applyFont="1" applyFill="1" applyBorder="1" applyAlignment="1" applyProtection="1">
      <alignment vertical="center" wrapText="1"/>
      <protection locked="0"/>
    </xf>
    <xf numFmtId="1" fontId="8" fillId="5" borderId="37" xfId="3" applyNumberFormat="1" applyFont="1" applyFill="1" applyBorder="1" applyAlignment="1" applyProtection="1">
      <alignment horizontal="center" vertical="center"/>
      <protection locked="0"/>
    </xf>
    <xf numFmtId="0" fontId="11" fillId="4" borderId="11" xfId="3" applyFont="1" applyFill="1" applyBorder="1" applyAlignment="1">
      <alignment horizontal="center" vertical="center"/>
    </xf>
    <xf numFmtId="0" fontId="11" fillId="4" borderId="12" xfId="3" applyFont="1" applyFill="1" applyBorder="1" applyAlignment="1">
      <alignment horizontal="center" vertical="center"/>
    </xf>
    <xf numFmtId="0" fontId="11" fillId="4" borderId="60" xfId="3" applyFont="1" applyFill="1" applyBorder="1" applyAlignment="1">
      <alignment horizontal="center" vertical="center"/>
    </xf>
    <xf numFmtId="0" fontId="11" fillId="4" borderId="61" xfId="3" applyFont="1" applyFill="1" applyBorder="1" applyAlignment="1">
      <alignment horizontal="center" vertical="center"/>
    </xf>
    <xf numFmtId="0" fontId="7" fillId="4" borderId="58" xfId="3" applyFont="1" applyFill="1" applyBorder="1" applyAlignment="1">
      <alignment horizontal="center" vertical="center" wrapText="1"/>
    </xf>
    <xf numFmtId="0" fontId="7" fillId="4" borderId="62" xfId="3" applyFont="1" applyFill="1" applyBorder="1" applyAlignment="1">
      <alignment horizontal="center" vertical="center" wrapText="1"/>
    </xf>
    <xf numFmtId="0" fontId="12" fillId="4" borderId="59" xfId="3" applyFont="1" applyFill="1" applyBorder="1" applyAlignment="1">
      <alignment horizontal="center" vertical="center" wrapText="1"/>
    </xf>
    <xf numFmtId="0" fontId="12" fillId="4" borderId="63" xfId="3" applyFont="1" applyFill="1" applyBorder="1" applyAlignment="1">
      <alignment horizontal="center" vertical="center" wrapText="1"/>
    </xf>
    <xf numFmtId="0" fontId="8" fillId="4" borderId="1" xfId="3" applyFont="1" applyFill="1" applyBorder="1" applyAlignment="1">
      <alignment horizontal="center" vertical="center" wrapText="1"/>
    </xf>
    <xf numFmtId="0" fontId="8" fillId="4" borderId="2" xfId="3" applyFont="1" applyFill="1" applyBorder="1" applyAlignment="1">
      <alignment horizontal="center" vertical="center" wrapText="1"/>
    </xf>
    <xf numFmtId="0" fontId="8" fillId="4" borderId="3" xfId="3" applyFont="1" applyFill="1" applyBorder="1" applyAlignment="1">
      <alignment horizontal="center" vertical="center" wrapText="1"/>
    </xf>
    <xf numFmtId="0" fontId="8" fillId="5" borderId="54" xfId="3" applyFont="1" applyFill="1" applyBorder="1" applyAlignment="1" applyProtection="1">
      <alignment horizontal="center" vertical="center"/>
      <protection locked="0"/>
    </xf>
    <xf numFmtId="0" fontId="8" fillId="5" borderId="93" xfId="3" applyFont="1" applyFill="1" applyBorder="1" applyAlignment="1" applyProtection="1">
      <alignment horizontal="center" vertical="center"/>
      <protection locked="0"/>
    </xf>
    <xf numFmtId="0" fontId="8" fillId="3" borderId="55" xfId="3" applyFont="1" applyFill="1" applyBorder="1" applyAlignment="1">
      <alignment vertical="center"/>
    </xf>
    <xf numFmtId="0" fontId="8" fillId="3" borderId="56" xfId="3" applyFont="1" applyFill="1" applyBorder="1" applyAlignment="1">
      <alignment vertical="center"/>
    </xf>
    <xf numFmtId="165" fontId="8" fillId="3" borderId="57" xfId="2" applyNumberFormat="1" applyFont="1" applyFill="1" applyBorder="1" applyAlignment="1" applyProtection="1">
      <alignment horizontal="center" vertical="center"/>
    </xf>
    <xf numFmtId="165" fontId="8" fillId="3" borderId="18" xfId="2" applyNumberFormat="1" applyFont="1" applyFill="1" applyBorder="1" applyAlignment="1" applyProtection="1">
      <alignment horizontal="center" vertical="center"/>
    </xf>
    <xf numFmtId="0" fontId="8" fillId="4" borderId="19" xfId="3" applyFont="1" applyFill="1" applyBorder="1" applyAlignment="1">
      <alignment horizontal="right" vertical="center"/>
    </xf>
    <xf numFmtId="0" fontId="8" fillId="4" borderId="20" xfId="3" applyFont="1" applyFill="1" applyBorder="1" applyAlignment="1">
      <alignment horizontal="right" vertical="center"/>
    </xf>
    <xf numFmtId="0" fontId="15" fillId="0" borderId="73" xfId="3" applyFont="1" applyBorder="1" applyAlignment="1" applyProtection="1">
      <alignment horizontal="center" vertical="center"/>
      <protection locked="0"/>
    </xf>
    <xf numFmtId="0" fontId="15" fillId="0" borderId="77" xfId="3" applyFont="1" applyBorder="1" applyAlignment="1" applyProtection="1">
      <alignment horizontal="center" vertical="center"/>
      <protection locked="0"/>
    </xf>
    <xf numFmtId="0" fontId="8" fillId="3" borderId="41" xfId="3" applyFont="1" applyFill="1" applyBorder="1" applyAlignment="1">
      <alignment horizontal="center" vertical="center"/>
    </xf>
    <xf numFmtId="0" fontId="8" fillId="3" borderId="42" xfId="3" applyFont="1" applyFill="1" applyBorder="1" applyAlignment="1">
      <alignment horizontal="center" vertical="center"/>
    </xf>
    <xf numFmtId="0" fontId="8" fillId="3" borderId="43" xfId="3" applyFont="1" applyFill="1" applyBorder="1" applyAlignment="1">
      <alignment horizontal="center" vertical="center"/>
    </xf>
    <xf numFmtId="0" fontId="17" fillId="3" borderId="68" xfId="3" applyFont="1" applyFill="1" applyBorder="1" applyAlignment="1">
      <alignment horizontal="center" vertical="center"/>
    </xf>
    <xf numFmtId="0" fontId="17" fillId="3" borderId="69" xfId="3" applyFont="1" applyFill="1" applyBorder="1" applyAlignment="1">
      <alignment horizontal="center" vertical="center"/>
    </xf>
    <xf numFmtId="0" fontId="17" fillId="3" borderId="70" xfId="3" applyFont="1" applyFill="1" applyBorder="1" applyAlignment="1">
      <alignment horizontal="center" vertical="center"/>
    </xf>
    <xf numFmtId="0" fontId="17" fillId="3" borderId="46" xfId="3" applyFont="1" applyFill="1" applyBorder="1" applyAlignment="1">
      <alignment horizontal="center" vertical="center"/>
    </xf>
    <xf numFmtId="0" fontId="8" fillId="3" borderId="66" xfId="3" applyFont="1" applyFill="1" applyBorder="1" applyAlignment="1">
      <alignment horizontal="center" vertical="center"/>
    </xf>
    <xf numFmtId="0" fontId="8" fillId="3" borderId="72" xfId="3" applyFont="1" applyFill="1" applyBorder="1" applyAlignment="1">
      <alignment horizontal="center" vertical="center"/>
    </xf>
    <xf numFmtId="0" fontId="8" fillId="3" borderId="80" xfId="3" applyFont="1" applyFill="1" applyBorder="1" applyAlignment="1">
      <alignment horizontal="center" vertical="center"/>
    </xf>
    <xf numFmtId="0" fontId="14" fillId="3" borderId="77" xfId="3" applyFont="1" applyFill="1" applyBorder="1" applyAlignment="1">
      <alignment horizontal="center" vertical="center"/>
    </xf>
    <xf numFmtId="0" fontId="12" fillId="3" borderId="46" xfId="3" applyFont="1" applyFill="1" applyBorder="1" applyAlignment="1">
      <alignment horizontal="center" vertical="center"/>
    </xf>
    <xf numFmtId="0" fontId="26" fillId="4" borderId="11" xfId="3" applyFont="1" applyFill="1" applyBorder="1" applyAlignment="1">
      <alignment horizontal="center" vertical="center"/>
    </xf>
    <xf numFmtId="0" fontId="26" fillId="4" borderId="12" xfId="3" applyFont="1" applyFill="1" applyBorder="1" applyAlignment="1">
      <alignment horizontal="center" vertical="center"/>
    </xf>
    <xf numFmtId="0" fontId="26" fillId="4" borderId="60" xfId="3" applyFont="1" applyFill="1" applyBorder="1" applyAlignment="1">
      <alignment horizontal="center" vertical="center"/>
    </xf>
    <xf numFmtId="0" fontId="26" fillId="4" borderId="61" xfId="3" applyFont="1" applyFill="1" applyBorder="1" applyAlignment="1">
      <alignment horizontal="center" vertical="center"/>
    </xf>
    <xf numFmtId="0" fontId="27" fillId="4" borderId="11" xfId="3" applyFont="1" applyFill="1" applyBorder="1" applyAlignment="1">
      <alignment horizontal="center" vertical="center" wrapText="1"/>
    </xf>
    <xf numFmtId="0" fontId="27" fillId="4" borderId="12" xfId="3" applyFont="1" applyFill="1" applyBorder="1" applyAlignment="1">
      <alignment horizontal="center" vertical="center" wrapText="1"/>
    </xf>
    <xf numFmtId="0" fontId="27" fillId="4" borderId="13" xfId="3" applyFont="1" applyFill="1" applyBorder="1" applyAlignment="1">
      <alignment horizontal="center" vertical="center" wrapText="1"/>
    </xf>
    <xf numFmtId="0" fontId="27" fillId="4" borderId="60" xfId="3" applyFont="1" applyFill="1" applyBorder="1" applyAlignment="1">
      <alignment horizontal="center" vertical="center" wrapText="1"/>
    </xf>
    <xf numFmtId="0" fontId="27" fillId="4" borderId="61" xfId="3" applyFont="1" applyFill="1" applyBorder="1" applyAlignment="1">
      <alignment horizontal="center" vertical="center" wrapText="1"/>
    </xf>
    <xf numFmtId="0" fontId="27" fillId="4" borderId="31" xfId="3" applyFont="1" applyFill="1" applyBorder="1" applyAlignment="1">
      <alignment horizontal="center" vertical="center" wrapText="1"/>
    </xf>
    <xf numFmtId="0" fontId="28" fillId="3" borderId="42" xfId="3" applyFont="1" applyFill="1" applyBorder="1" applyAlignment="1">
      <alignment horizontal="center" vertical="center"/>
    </xf>
    <xf numFmtId="2" fontId="7" fillId="3" borderId="58" xfId="3" applyNumberFormat="1" applyFont="1" applyFill="1" applyBorder="1" applyAlignment="1">
      <alignment horizontal="center" vertical="center" wrapText="1"/>
    </xf>
    <xf numFmtId="0" fontId="7" fillId="3" borderId="95" xfId="3" applyFont="1" applyFill="1" applyBorder="1" applyAlignment="1">
      <alignment horizontal="center" vertical="center" wrapText="1"/>
    </xf>
    <xf numFmtId="0" fontId="9" fillId="0" borderId="48" xfId="3" quotePrefix="1" applyFont="1" applyBorder="1" applyAlignment="1" applyProtection="1">
      <alignment horizontal="left" vertical="center" wrapText="1"/>
      <protection locked="0"/>
    </xf>
    <xf numFmtId="0" fontId="9" fillId="0" borderId="49" xfId="3" quotePrefix="1" applyFont="1" applyBorder="1" applyAlignment="1" applyProtection="1">
      <alignment horizontal="left" vertical="center" wrapText="1"/>
      <protection locked="0"/>
    </xf>
    <xf numFmtId="0" fontId="9" fillId="0" borderId="94" xfId="3" quotePrefix="1" applyFont="1" applyBorder="1" applyAlignment="1" applyProtection="1">
      <alignment horizontal="left" vertical="center" wrapText="1"/>
      <protection locked="0"/>
    </xf>
    <xf numFmtId="0" fontId="33" fillId="3" borderId="67" xfId="3" applyFont="1" applyFill="1" applyBorder="1" applyAlignment="1">
      <alignment horizontal="center" vertical="center"/>
    </xf>
    <xf numFmtId="0" fontId="33" fillId="3" borderId="69" xfId="3" applyFont="1" applyFill="1" applyBorder="1" applyAlignment="1">
      <alignment horizontal="center" vertical="center"/>
    </xf>
    <xf numFmtId="0" fontId="14" fillId="3" borderId="73" xfId="3" applyFont="1" applyFill="1" applyBorder="1" applyAlignment="1">
      <alignment horizontal="center" vertical="center"/>
    </xf>
    <xf numFmtId="0" fontId="9" fillId="0" borderId="41" xfId="3" quotePrefix="1" applyFont="1" applyBorder="1" applyAlignment="1" applyProtection="1">
      <alignment horizontal="left" vertical="center" wrapText="1"/>
      <protection locked="0"/>
    </xf>
    <xf numFmtId="0" fontId="9" fillId="0" borderId="42" xfId="3" quotePrefix="1" applyFont="1" applyBorder="1" applyAlignment="1" applyProtection="1">
      <alignment horizontal="left" vertical="center" wrapText="1"/>
      <protection locked="0"/>
    </xf>
    <xf numFmtId="0" fontId="9" fillId="0" borderId="91" xfId="3" quotePrefix="1" applyFont="1" applyBorder="1" applyAlignment="1" applyProtection="1">
      <alignment horizontal="left" vertical="center" wrapText="1"/>
      <protection locked="0"/>
    </xf>
    <xf numFmtId="0" fontId="25" fillId="3" borderId="67" xfId="3" applyFont="1" applyFill="1" applyBorder="1" applyAlignment="1">
      <alignment horizontal="center" vertical="center"/>
    </xf>
    <xf numFmtId="0" fontId="25" fillId="3" borderId="69" xfId="3" applyFont="1" applyFill="1" applyBorder="1" applyAlignment="1">
      <alignment horizontal="center" vertical="center"/>
    </xf>
    <xf numFmtId="0" fontId="17" fillId="3" borderId="68" xfId="3" applyFont="1" applyFill="1" applyBorder="1" applyAlignment="1">
      <alignment horizontal="center" vertical="center" wrapText="1"/>
    </xf>
    <xf numFmtId="0" fontId="17" fillId="3" borderId="69" xfId="3" applyFont="1" applyFill="1" applyBorder="1" applyAlignment="1">
      <alignment horizontal="center" vertical="center" wrapText="1"/>
    </xf>
    <xf numFmtId="0" fontId="9" fillId="0" borderId="51" xfId="3" quotePrefix="1" applyFont="1" applyBorder="1" applyAlignment="1" applyProtection="1">
      <alignment horizontal="left" vertical="center" wrapText="1"/>
      <protection locked="0"/>
    </xf>
    <xf numFmtId="0" fontId="9" fillId="0" borderId="52" xfId="3" quotePrefix="1" applyFont="1" applyBorder="1" applyAlignment="1" applyProtection="1">
      <alignment horizontal="left" vertical="center" wrapText="1"/>
      <protection locked="0"/>
    </xf>
    <xf numFmtId="0" fontId="9" fillId="0" borderId="93" xfId="3" quotePrefix="1" applyFont="1" applyBorder="1" applyAlignment="1" applyProtection="1">
      <alignment horizontal="left" vertical="center" wrapText="1"/>
      <protection locked="0"/>
    </xf>
    <xf numFmtId="10" fontId="6" fillId="3" borderId="88" xfId="2" applyNumberFormat="1" applyFont="1" applyFill="1" applyBorder="1" applyAlignment="1" applyProtection="1">
      <alignment horizontal="center" vertical="center" wrapText="1" shrinkToFit="1"/>
    </xf>
    <xf numFmtId="10" fontId="6" fillId="3" borderId="89" xfId="2" applyNumberFormat="1" applyFont="1" applyFill="1" applyBorder="1" applyAlignment="1" applyProtection="1">
      <alignment horizontal="center" vertical="center" wrapText="1" shrinkToFit="1"/>
    </xf>
    <xf numFmtId="0" fontId="6" fillId="3" borderId="86" xfId="3" applyFont="1" applyFill="1" applyBorder="1" applyAlignment="1">
      <alignment horizontal="center" vertical="center" wrapText="1" shrinkToFit="1"/>
    </xf>
    <xf numFmtId="0" fontId="6" fillId="6" borderId="86" xfId="3" applyFont="1" applyFill="1" applyBorder="1" applyAlignment="1">
      <alignment horizontal="center" vertical="center" wrapText="1" shrinkToFit="1"/>
    </xf>
  </cellXfs>
  <cellStyles count="4">
    <cellStyle name="Comma" xfId="1" builtinId="3"/>
    <cellStyle name="Normal" xfId="0" builtinId="0"/>
    <cellStyle name="Percent" xfId="2" builtinId="5"/>
    <cellStyle name="Standaard 12" xfId="3" xr:uid="{00000000-0005-0000-0000-000003000000}"/>
  </cellStyles>
  <dxfs count="51">
    <dxf>
      <font>
        <color theme="0" tint="-0.14996795556505021"/>
      </font>
      <fill>
        <patternFill>
          <bgColor theme="0" tint="-0.14996795556505021"/>
        </patternFill>
      </fill>
    </dxf>
    <dxf>
      <font>
        <b val="0"/>
        <i val="0"/>
        <color auto="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auto="1"/>
      </font>
    </dxf>
    <dxf>
      <font>
        <b/>
        <i val="0"/>
        <color rgb="FFFF0000"/>
      </font>
    </dxf>
    <dxf>
      <font>
        <b/>
        <i val="0"/>
        <color rgb="FFFF0000"/>
      </font>
      <numFmt numFmtId="168" formatCode="0.00;[Red]0.00"/>
    </dxf>
    <dxf>
      <font>
        <b/>
        <i val="0"/>
        <color rgb="FFFF0000"/>
      </font>
    </dxf>
    <dxf>
      <font>
        <b/>
        <i val="0"/>
        <color rgb="FFFF0000"/>
      </font>
      <numFmt numFmtId="168" formatCode="0.00;[Red]0.00"/>
    </dxf>
    <dxf>
      <font>
        <b/>
        <i val="0"/>
        <color rgb="FFFF0000"/>
      </font>
    </dxf>
    <dxf>
      <font>
        <b/>
        <i val="0"/>
        <color rgb="FFFF0000"/>
      </font>
      <numFmt numFmtId="168" formatCode="0.00;[Red]0.00"/>
    </dxf>
    <dxf>
      <font>
        <b/>
        <i val="0"/>
        <color rgb="FFFF0000"/>
      </font>
    </dxf>
    <dxf>
      <font>
        <b/>
        <i val="0"/>
        <color rgb="FFFF0000"/>
      </font>
      <numFmt numFmtId="168" formatCode="0.00;[Red]0.00"/>
      <fill>
        <patternFill>
          <f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auto="1"/>
      </font>
    </dxf>
    <dxf>
      <font>
        <color auto="1"/>
      </font>
    </dxf>
    <dxf>
      <font>
        <color auto="1"/>
      </font>
      <fill>
        <patternFill>
          <bgColor theme="0" tint="-0.14996795556505021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auto="1"/>
      </font>
    </dxf>
  </dxfs>
  <tableStyles count="0" defaultTableStyle="TableStyleMedium2" defaultPivotStyle="PivotStyleLight16"/>
  <colors>
    <mruColors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225266</xdr:colOff>
      <xdr:row>0</xdr:row>
      <xdr:rowOff>169545</xdr:rowOff>
    </xdr:from>
    <xdr:to>
      <xdr:col>2</xdr:col>
      <xdr:colOff>889521</xdr:colOff>
      <xdr:row>0</xdr:row>
      <xdr:rowOff>769545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72CE64E-3278-4B5B-8140-0F3316928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4707" y="169545"/>
          <a:ext cx="910785" cy="60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91440</xdr:colOff>
      <xdr:row>0</xdr:row>
      <xdr:rowOff>56450</xdr:rowOff>
    </xdr:from>
    <xdr:to>
      <xdr:col>20</xdr:col>
      <xdr:colOff>1284182</xdr:colOff>
      <xdr:row>0</xdr:row>
      <xdr:rowOff>1077549</xdr:rowOff>
    </xdr:to>
    <xdr:pic macro="[0]!Datatransport">
      <xdr:nvPicPr>
        <xdr:cNvPr id="5" name="Afbeelding 4">
          <a:extLst>
            <a:ext uri="{FF2B5EF4-FFF2-40B4-BE49-F238E27FC236}">
              <a16:creationId xmlns:a16="http://schemas.microsoft.com/office/drawing/2014/main" id="{59F7A557-1E32-459B-8529-59D1150DC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9960" y="56450"/>
          <a:ext cx="1888067" cy="1021099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9DB51-8034-4816-B6D5-A0EB1ABCCDD5}">
  <sheetPr codeName="Blad5"/>
  <dimension ref="A1:C21"/>
  <sheetViews>
    <sheetView workbookViewId="0"/>
  </sheetViews>
  <sheetFormatPr defaultRowHeight="15" x14ac:dyDescent="0.25"/>
  <cols>
    <col min="1" max="1" width="19.5703125" bestFit="1" customWidth="1"/>
    <col min="2" max="2" width="10.140625" bestFit="1" customWidth="1"/>
    <col min="3" max="3" width="10.85546875" bestFit="1" customWidth="1"/>
  </cols>
  <sheetData>
    <row r="1" spans="1:3" x14ac:dyDescent="0.25">
      <c r="A1" t="s">
        <v>99</v>
      </c>
      <c r="B1" t="s">
        <v>100</v>
      </c>
      <c r="C1" s="51">
        <f>'invoer data'!R9</f>
        <v>0</v>
      </c>
    </row>
    <row r="2" spans="1:3" x14ac:dyDescent="0.25">
      <c r="A2" s="47" t="s">
        <v>101</v>
      </c>
      <c r="B2" s="47" t="s">
        <v>102</v>
      </c>
    </row>
    <row r="3" spans="1:3" x14ac:dyDescent="0.25">
      <c r="A3" s="48" t="s">
        <v>103</v>
      </c>
      <c r="B3" s="48" t="s">
        <v>104</v>
      </c>
      <c r="C3">
        <f>'invoer data'!S25</f>
        <v>0</v>
      </c>
    </row>
    <row r="4" spans="1:3" x14ac:dyDescent="0.25">
      <c r="A4" s="48" t="s">
        <v>103</v>
      </c>
      <c r="B4" s="48" t="s">
        <v>105</v>
      </c>
      <c r="C4" s="52">
        <f>'invoer data'!S26</f>
        <v>0</v>
      </c>
    </row>
    <row r="5" spans="1:3" x14ac:dyDescent="0.25">
      <c r="A5" s="48" t="s">
        <v>106</v>
      </c>
      <c r="B5" s="48" t="s">
        <v>105</v>
      </c>
      <c r="C5" s="52">
        <f>'invoer data'!S28</f>
        <v>2</v>
      </c>
    </row>
    <row r="6" spans="1:3" x14ac:dyDescent="0.25">
      <c r="A6" s="48" t="s">
        <v>107</v>
      </c>
      <c r="B6" s="48" t="s">
        <v>105</v>
      </c>
      <c r="C6" s="52">
        <f>'invoer data'!S32</f>
        <v>0</v>
      </c>
    </row>
    <row r="7" spans="1:3" x14ac:dyDescent="0.25">
      <c r="A7" s="48" t="s">
        <v>108</v>
      </c>
      <c r="B7" s="49" t="s">
        <v>105</v>
      </c>
      <c r="C7" s="52">
        <f>'invoer data'!S34</f>
        <v>0</v>
      </c>
    </row>
    <row r="8" spans="1:3" x14ac:dyDescent="0.25">
      <c r="A8" s="48" t="s">
        <v>109</v>
      </c>
      <c r="B8" s="48" t="s">
        <v>105</v>
      </c>
      <c r="C8" s="52">
        <f>'invoer data'!S39</f>
        <v>0</v>
      </c>
    </row>
    <row r="9" spans="1:3" x14ac:dyDescent="0.25">
      <c r="A9" s="48" t="s">
        <v>110</v>
      </c>
      <c r="B9" s="48" t="s">
        <v>105</v>
      </c>
      <c r="C9">
        <f>'invoer data'!S41</f>
        <v>0</v>
      </c>
    </row>
    <row r="10" spans="1:3" x14ac:dyDescent="0.25">
      <c r="A10" s="48" t="s">
        <v>111</v>
      </c>
      <c r="B10" s="48" t="s">
        <v>104</v>
      </c>
      <c r="C10">
        <f>'invoer data'!S46</f>
        <v>0</v>
      </c>
    </row>
    <row r="11" spans="1:3" x14ac:dyDescent="0.25">
      <c r="A11" s="48" t="s">
        <v>112</v>
      </c>
      <c r="B11" s="48" t="s">
        <v>105</v>
      </c>
      <c r="C11">
        <f>'invoer data'!S45</f>
        <v>0</v>
      </c>
    </row>
    <row r="12" spans="1:3" x14ac:dyDescent="0.25">
      <c r="A12" s="47" t="s">
        <v>113</v>
      </c>
    </row>
    <row r="13" spans="1:3" x14ac:dyDescent="0.25">
      <c r="A13" s="48" t="s">
        <v>52</v>
      </c>
      <c r="B13" s="48" t="s">
        <v>45</v>
      </c>
      <c r="C13" s="53" t="str">
        <f>'invoer data'!U50</f>
        <v/>
      </c>
    </row>
    <row r="14" spans="1:3" x14ac:dyDescent="0.25">
      <c r="A14" s="48" t="s">
        <v>54</v>
      </c>
      <c r="B14" s="48" t="s">
        <v>45</v>
      </c>
      <c r="C14" s="53" t="str">
        <f>'invoer data'!U51</f>
        <v/>
      </c>
    </row>
    <row r="15" spans="1:3" x14ac:dyDescent="0.25">
      <c r="A15" s="48" t="s">
        <v>95</v>
      </c>
      <c r="B15" s="48" t="s">
        <v>45</v>
      </c>
      <c r="C15" s="53" t="str">
        <f>'invoer data'!U52</f>
        <v/>
      </c>
    </row>
    <row r="16" spans="1:3" x14ac:dyDescent="0.25">
      <c r="A16" s="50" t="s">
        <v>114</v>
      </c>
    </row>
    <row r="17" spans="1:3" x14ac:dyDescent="0.25">
      <c r="A17" s="48" t="s">
        <v>115</v>
      </c>
      <c r="B17" s="48" t="s">
        <v>45</v>
      </c>
      <c r="C17" s="53" t="e">
        <f>'invoer data'!G66</f>
        <v>#DIV/0!</v>
      </c>
    </row>
    <row r="18" spans="1:3" x14ac:dyDescent="0.25">
      <c r="A18" s="48" t="s">
        <v>59</v>
      </c>
      <c r="B18" s="48" t="s">
        <v>45</v>
      </c>
      <c r="C18" s="53" t="e">
        <f>'invoer data'!I66</f>
        <v>#DIV/0!</v>
      </c>
    </row>
    <row r="19" spans="1:3" x14ac:dyDescent="0.25">
      <c r="A19" s="48" t="s">
        <v>60</v>
      </c>
      <c r="B19" s="48" t="s">
        <v>45</v>
      </c>
      <c r="C19" s="53" t="e">
        <f>'invoer data'!K66</f>
        <v>#DIV/0!</v>
      </c>
    </row>
    <row r="20" spans="1:3" x14ac:dyDescent="0.25">
      <c r="A20" s="48" t="s">
        <v>116</v>
      </c>
      <c r="B20" s="48" t="s">
        <v>45</v>
      </c>
      <c r="C20" s="53" t="e">
        <f>'invoer data'!M66</f>
        <v>#DIV/0!</v>
      </c>
    </row>
    <row r="21" spans="1:3" x14ac:dyDescent="0.25">
      <c r="A21" s="48" t="s">
        <v>61</v>
      </c>
      <c r="B21" s="48" t="s">
        <v>45</v>
      </c>
      <c r="C21" s="53" t="e">
        <f>'invoer data'!O66</f>
        <v>#DIV/0!</v>
      </c>
    </row>
  </sheetData>
  <sheetProtection algorithmName="SHA-512" hashValue="zYG7XRQdM3BD/bfLf0rqPbmovoo2PUGz7UJzniyYC6a+9ALzSNUt+DOaJdLZwA59pRLvW+O1wgl0LCRRj+eGTg==" saltValue="ROogU+n3Ld2q07xXFAwfrQ==" spinCount="100000" sheet="1" objects="1" scenarios="1"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360F3-E741-4669-A5CC-71FD61E58AF1}">
  <sheetPr codeName="Blad6">
    <pageSetUpPr fitToPage="1"/>
  </sheetPr>
  <dimension ref="A1:AQ66"/>
  <sheetViews>
    <sheetView tabSelected="1" topLeftCell="A39" zoomScale="70" zoomScaleNormal="70" workbookViewId="0">
      <selection activeCell="D1" sqref="B1:U24"/>
    </sheetView>
  </sheetViews>
  <sheetFormatPr defaultRowHeight="15" x14ac:dyDescent="0.25"/>
  <cols>
    <col min="1" max="1" width="6.85546875" customWidth="1"/>
    <col min="2" max="2" width="3.7109375" customWidth="1"/>
    <col min="3" max="3" width="14.7109375" customWidth="1"/>
    <col min="4" max="5" width="6.28515625" customWidth="1"/>
    <col min="6" max="6" width="5.85546875" customWidth="1"/>
    <col min="7" max="7" width="7.5703125" customWidth="1"/>
    <col min="8" max="8" width="5" customWidth="1"/>
    <col min="9" max="9" width="7.85546875" customWidth="1"/>
    <col min="10" max="10" width="5.140625" customWidth="1"/>
    <col min="11" max="11" width="7.7109375" customWidth="1"/>
    <col min="12" max="12" width="4.7109375" customWidth="1"/>
    <col min="13" max="13" width="8" customWidth="1"/>
    <col min="14" max="14" width="5.5703125" customWidth="1"/>
    <col min="15" max="15" width="8" customWidth="1"/>
    <col min="16" max="16" width="6.85546875" customWidth="1"/>
    <col min="17" max="17" width="13" customWidth="1"/>
    <col min="18" max="18" width="20" customWidth="1"/>
    <col min="19" max="19" width="17.5703125" customWidth="1"/>
    <col min="20" max="20" width="10" customWidth="1"/>
    <col min="21" max="21" width="19.28515625" customWidth="1"/>
    <col min="22" max="23" width="9.28515625" hidden="1" customWidth="1"/>
    <col min="24" max="24" width="20.140625" hidden="1" customWidth="1"/>
    <col min="25" max="26" width="10.140625" hidden="1" customWidth="1"/>
    <col min="27" max="27" width="15.42578125" hidden="1" customWidth="1"/>
    <col min="28" max="28" width="14.42578125" hidden="1" customWidth="1"/>
    <col min="29" max="29" width="14" hidden="1" customWidth="1"/>
    <col min="30" max="30" width="10.42578125" hidden="1" customWidth="1"/>
    <col min="31" max="31" width="14.140625" hidden="1" customWidth="1"/>
    <col min="32" max="34" width="12.140625" hidden="1" customWidth="1"/>
    <col min="35" max="35" width="8" hidden="1" customWidth="1"/>
    <col min="36" max="36" width="9.42578125" hidden="1" customWidth="1"/>
    <col min="37" max="37" width="12.28515625" hidden="1" customWidth="1"/>
    <col min="38" max="38" width="10.140625" hidden="1" customWidth="1"/>
    <col min="39" max="39" width="11.28515625" hidden="1" customWidth="1"/>
    <col min="40" max="40" width="7" hidden="1" customWidth="1"/>
    <col min="41" max="41" width="14.7109375" hidden="1" customWidth="1"/>
    <col min="42" max="42" width="11.85546875" hidden="1" customWidth="1"/>
    <col min="43" max="43" width="11.28515625" hidden="1" customWidth="1"/>
    <col min="44" max="44" width="5.85546875" customWidth="1"/>
    <col min="45" max="45" width="15.140625" customWidth="1"/>
    <col min="46" max="46" width="6.28515625" customWidth="1"/>
    <col min="47" max="53" width="9.140625" customWidth="1"/>
  </cols>
  <sheetData>
    <row r="1" spans="1:42" ht="86.45" customHeight="1" thickBot="1" x14ac:dyDescent="0.3">
      <c r="A1" s="61"/>
      <c r="B1" s="154"/>
      <c r="C1" s="155"/>
      <c r="D1" s="152" t="s">
        <v>88</v>
      </c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49"/>
      <c r="U1" s="151" t="s">
        <v>122</v>
      </c>
      <c r="AA1" t="s">
        <v>63</v>
      </c>
      <c r="AN1" s="62" t="s">
        <v>74</v>
      </c>
    </row>
    <row r="2" spans="1:42" ht="30" customHeight="1" thickBot="1" x14ac:dyDescent="0.3">
      <c r="A2" s="61"/>
      <c r="B2" s="170" t="s">
        <v>0</v>
      </c>
      <c r="C2" s="171"/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2"/>
      <c r="AA2" t="s">
        <v>64</v>
      </c>
    </row>
    <row r="3" spans="1:42" ht="20.25" x14ac:dyDescent="0.25">
      <c r="A3" s="63"/>
      <c r="B3" s="64"/>
      <c r="C3" s="65" t="s">
        <v>1</v>
      </c>
      <c r="D3" s="66"/>
      <c r="E3" s="66"/>
      <c r="F3" s="66"/>
      <c r="G3" s="66"/>
      <c r="H3" s="186" t="s">
        <v>117</v>
      </c>
      <c r="I3" s="187"/>
      <c r="J3" s="187"/>
      <c r="K3" s="187"/>
      <c r="L3" s="187"/>
      <c r="M3" s="187"/>
      <c r="N3" s="187"/>
      <c r="O3" s="187"/>
      <c r="P3" s="187"/>
      <c r="Q3" s="187"/>
      <c r="R3" s="188"/>
      <c r="S3" s="189"/>
      <c r="T3" s="67"/>
      <c r="U3" s="150" t="s">
        <v>123</v>
      </c>
      <c r="AA3" t="s">
        <v>65</v>
      </c>
      <c r="AC3" t="e">
        <f>+ IF(#REF!="not all",10,)</f>
        <v>#REF!</v>
      </c>
      <c r="AE3" t="s">
        <v>70</v>
      </c>
      <c r="AH3" t="e">
        <f>+ IF(#REF!="many large pcs",10,)</f>
        <v>#REF!</v>
      </c>
      <c r="AJ3" t="s">
        <v>75</v>
      </c>
      <c r="AL3" t="e">
        <f>+ IF(#REF!="very homogeneous",10,)</f>
        <v>#REF!</v>
      </c>
      <c r="AN3" t="s">
        <v>75</v>
      </c>
      <c r="AP3" t="e">
        <f>+ IF(#REF!="very homogeneous",10,)</f>
        <v>#REF!</v>
      </c>
    </row>
    <row r="4" spans="1:42" ht="20.25" x14ac:dyDescent="0.25">
      <c r="A4" s="63"/>
      <c r="B4" s="68"/>
      <c r="C4" s="69" t="s">
        <v>2</v>
      </c>
      <c r="D4" s="69"/>
      <c r="E4" s="69"/>
      <c r="F4" s="69"/>
      <c r="G4" s="69"/>
      <c r="H4" s="173" t="s">
        <v>125</v>
      </c>
      <c r="I4" s="174"/>
      <c r="J4" s="174"/>
      <c r="K4" s="174"/>
      <c r="L4" s="174"/>
      <c r="M4" s="174"/>
      <c r="N4" s="174"/>
      <c r="O4" s="174"/>
      <c r="P4" s="174"/>
      <c r="Q4" s="174"/>
      <c r="R4" s="70" t="s">
        <v>3</v>
      </c>
      <c r="S4" s="58"/>
      <c r="T4" s="71"/>
      <c r="U4" s="72"/>
      <c r="AA4" t="s">
        <v>66</v>
      </c>
      <c r="AC4" t="e">
        <f>+ IF(#REF!="very little",8,)</f>
        <v>#REF!</v>
      </c>
      <c r="AE4" t="s">
        <v>71</v>
      </c>
      <c r="AH4" t="e">
        <f>+ IF(#REF!="large som fine pcs",8,)</f>
        <v>#REF!</v>
      </c>
      <c r="AJ4" t="s">
        <v>76</v>
      </c>
      <c r="AL4" t="e">
        <f>+ IF(#REF!="better than average",8,)</f>
        <v>#REF!</v>
      </c>
      <c r="AN4" t="s">
        <v>76</v>
      </c>
      <c r="AP4" t="e">
        <f>+ IF(#REF!="better than average",8,)</f>
        <v>#REF!</v>
      </c>
    </row>
    <row r="5" spans="1:42" ht="20.25" x14ac:dyDescent="0.25">
      <c r="A5" s="63"/>
      <c r="B5" s="68"/>
      <c r="C5" s="73" t="s">
        <v>4</v>
      </c>
      <c r="D5" s="69"/>
      <c r="E5" s="69"/>
      <c r="F5" s="69"/>
      <c r="G5" s="69"/>
      <c r="H5" s="190" t="s">
        <v>59</v>
      </c>
      <c r="I5" s="191"/>
      <c r="J5" s="191"/>
      <c r="K5" s="191"/>
      <c r="L5" s="191"/>
      <c r="M5" s="191"/>
      <c r="N5" s="191"/>
      <c r="O5" s="191"/>
      <c r="P5" s="191"/>
      <c r="Q5" s="191"/>
      <c r="R5" s="74" t="s">
        <v>3</v>
      </c>
      <c r="S5" s="59"/>
      <c r="T5" s="71"/>
      <c r="U5" s="72"/>
      <c r="AA5" t="s">
        <v>67</v>
      </c>
      <c r="AC5" t="e">
        <f>+ IF(#REF!="average",5,)</f>
        <v>#REF!</v>
      </c>
      <c r="AE5" t="s">
        <v>67</v>
      </c>
      <c r="AH5" t="e">
        <f>+ IF(#REF!="average",5,)</f>
        <v>#REF!</v>
      </c>
      <c r="AJ5" t="s">
        <v>67</v>
      </c>
      <c r="AL5" t="e">
        <f>+ IF(#REF!="average",5,)</f>
        <v>#REF!</v>
      </c>
      <c r="AN5" t="s">
        <v>67</v>
      </c>
      <c r="AP5" t="e">
        <f>+ IF(#REF!="average",5,)</f>
        <v>#REF!</v>
      </c>
    </row>
    <row r="6" spans="1:42" ht="20.25" x14ac:dyDescent="0.25">
      <c r="A6" s="63"/>
      <c r="B6" s="68"/>
      <c r="C6" s="75" t="s">
        <v>5</v>
      </c>
      <c r="D6" s="75"/>
      <c r="E6" s="75"/>
      <c r="F6" s="75"/>
      <c r="G6" s="75"/>
      <c r="H6" s="173" t="s">
        <v>124</v>
      </c>
      <c r="I6" s="174"/>
      <c r="J6" s="174"/>
      <c r="K6" s="174"/>
      <c r="L6" s="174"/>
      <c r="M6" s="174"/>
      <c r="N6" s="174"/>
      <c r="O6" s="174"/>
      <c r="P6" s="174"/>
      <c r="Q6" s="174"/>
      <c r="R6" s="175"/>
      <c r="S6" s="176"/>
      <c r="T6" s="76"/>
      <c r="U6" s="77"/>
      <c r="AA6" t="s">
        <v>68</v>
      </c>
      <c r="AC6" t="e">
        <f>+ IF(#REF!="much",3,)</f>
        <v>#REF!</v>
      </c>
      <c r="AE6" t="s">
        <v>72</v>
      </c>
      <c r="AH6" t="e">
        <f>+ IF(#REF!="mainly fine + some large",3,)</f>
        <v>#REF!</v>
      </c>
      <c r="AJ6" t="s">
        <v>77</v>
      </c>
      <c r="AL6" t="e">
        <f>+ IF(#REF!="worse than average",3,)</f>
        <v>#REF!</v>
      </c>
      <c r="AN6" t="s">
        <v>77</v>
      </c>
      <c r="AP6" t="e">
        <f>+ IF(#REF!="worse than average",3,)</f>
        <v>#REF!</v>
      </c>
    </row>
    <row r="7" spans="1:42" ht="21" thickBot="1" x14ac:dyDescent="0.3">
      <c r="A7" s="63"/>
      <c r="B7" s="78"/>
      <c r="C7" s="79" t="s">
        <v>6</v>
      </c>
      <c r="D7" s="79"/>
      <c r="E7" s="79"/>
      <c r="F7" s="79"/>
      <c r="G7" s="79"/>
      <c r="H7" s="179" t="s">
        <v>59</v>
      </c>
      <c r="I7" s="180"/>
      <c r="J7" s="180"/>
      <c r="K7" s="180"/>
      <c r="L7" s="180"/>
      <c r="M7" s="180"/>
      <c r="N7" s="180"/>
      <c r="O7" s="180"/>
      <c r="P7" s="180"/>
      <c r="Q7" s="180"/>
      <c r="R7" s="177"/>
      <c r="S7" s="178"/>
      <c r="T7" s="76"/>
      <c r="U7" s="77"/>
      <c r="AA7" t="s">
        <v>69</v>
      </c>
      <c r="AC7" t="e">
        <f>+ IF(#REF!="very much",0,)</f>
        <v>#REF!</v>
      </c>
      <c r="AE7" t="s">
        <v>73</v>
      </c>
      <c r="AH7" t="e">
        <f>+ IF(#REF!="mainly fine pieces",0,)</f>
        <v>#REF!</v>
      </c>
      <c r="AJ7" t="s">
        <v>78</v>
      </c>
      <c r="AL7" t="e">
        <f>+ IF(#REF!="not homogeneous",0,)</f>
        <v>#REF!</v>
      </c>
      <c r="AN7" t="s">
        <v>78</v>
      </c>
      <c r="AP7" t="e">
        <f>+ IF(#REF!="not homogeneous",0,)</f>
        <v>#REF!</v>
      </c>
    </row>
    <row r="8" spans="1:42" ht="31.15" customHeight="1" thickBot="1" x14ac:dyDescent="0.3">
      <c r="A8" s="63"/>
      <c r="B8" s="183" t="s">
        <v>7</v>
      </c>
      <c r="C8" s="184"/>
      <c r="D8" s="184"/>
      <c r="E8" s="184"/>
      <c r="F8" s="184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5"/>
      <c r="Z8" t="s">
        <v>79</v>
      </c>
      <c r="AA8" t="e">
        <f>+(AC8+AH8+AL8+AP8)/4</f>
        <v>#REF!</v>
      </c>
      <c r="AC8" t="e">
        <f>SUM(AC3:AC7)</f>
        <v>#REF!</v>
      </c>
      <c r="AH8" t="e">
        <f>SUM(AH3:AH7)</f>
        <v>#REF!</v>
      </c>
      <c r="AL8" t="e">
        <f>SUM(AL3:AL7)</f>
        <v>#REF!</v>
      </c>
      <c r="AP8" t="e">
        <f>SUM(AP3:AP7)</f>
        <v>#REF!</v>
      </c>
    </row>
    <row r="9" spans="1:42" ht="20.25" x14ac:dyDescent="0.25">
      <c r="A9" s="63"/>
      <c r="B9" s="80"/>
      <c r="C9" s="181" t="s">
        <v>8</v>
      </c>
      <c r="D9" s="181"/>
      <c r="E9" s="181"/>
      <c r="F9" s="181"/>
      <c r="G9" s="181"/>
      <c r="H9" s="181"/>
      <c r="I9" s="181"/>
      <c r="J9" s="181"/>
      <c r="K9" s="181"/>
      <c r="L9" s="181"/>
      <c r="M9" s="181"/>
      <c r="N9" s="181"/>
      <c r="O9" s="181"/>
      <c r="P9" s="182"/>
      <c r="Q9" s="182"/>
      <c r="R9" s="45"/>
      <c r="S9" s="81"/>
      <c r="T9" s="82"/>
      <c r="U9" s="77"/>
    </row>
    <row r="10" spans="1:42" ht="21" thickBot="1" x14ac:dyDescent="0.3">
      <c r="A10" s="63"/>
      <c r="B10" s="68"/>
      <c r="C10" s="166" t="s">
        <v>9</v>
      </c>
      <c r="D10" s="166"/>
      <c r="E10" s="166"/>
      <c r="F10" s="166"/>
      <c r="G10" s="166"/>
      <c r="H10" s="166"/>
      <c r="I10" s="166"/>
      <c r="J10" s="166"/>
      <c r="K10" s="166"/>
      <c r="L10" s="166"/>
      <c r="M10" s="166"/>
      <c r="N10" s="166"/>
      <c r="O10" s="166"/>
      <c r="P10" s="167"/>
      <c r="Q10" s="167"/>
      <c r="R10" s="168" t="s">
        <v>86</v>
      </c>
      <c r="S10" s="169"/>
      <c r="T10" s="82"/>
      <c r="U10" s="77"/>
    </row>
    <row r="11" spans="1:42" ht="20.25" customHeight="1" x14ac:dyDescent="0.25">
      <c r="A11" s="63"/>
      <c r="B11" s="68"/>
      <c r="C11" s="166" t="s">
        <v>10</v>
      </c>
      <c r="D11" s="166"/>
      <c r="E11" s="166"/>
      <c r="F11" s="166"/>
      <c r="G11" s="166"/>
      <c r="H11" s="166"/>
      <c r="I11" s="166"/>
      <c r="J11" s="166"/>
      <c r="K11" s="166"/>
      <c r="L11" s="166"/>
      <c r="M11" s="166"/>
      <c r="N11" s="166"/>
      <c r="O11" s="166"/>
      <c r="P11" s="167"/>
      <c r="Q11" s="167"/>
      <c r="R11" s="32"/>
      <c r="S11" s="83"/>
      <c r="T11" s="82"/>
      <c r="U11" s="77"/>
      <c r="X11" s="84"/>
    </row>
    <row r="12" spans="1:42" ht="20.25" x14ac:dyDescent="0.25">
      <c r="A12" s="63"/>
      <c r="B12" s="68"/>
      <c r="C12" s="166" t="s">
        <v>11</v>
      </c>
      <c r="D12" s="166"/>
      <c r="E12" s="166"/>
      <c r="F12" s="166"/>
      <c r="G12" s="166"/>
      <c r="H12" s="166"/>
      <c r="I12" s="166"/>
      <c r="J12" s="166"/>
      <c r="K12" s="166"/>
      <c r="L12" s="166"/>
      <c r="M12" s="166"/>
      <c r="N12" s="166"/>
      <c r="O12" s="166"/>
      <c r="P12" s="167"/>
      <c r="Q12" s="167"/>
      <c r="R12" s="168" t="s">
        <v>125</v>
      </c>
      <c r="S12" s="169"/>
      <c r="T12" s="160"/>
      <c r="U12" s="161"/>
      <c r="X12" s="85"/>
    </row>
    <row r="13" spans="1:42" ht="21" thickBot="1" x14ac:dyDescent="0.3">
      <c r="A13" s="63"/>
      <c r="B13" s="86"/>
      <c r="C13" s="156" t="s">
        <v>12</v>
      </c>
      <c r="D13" s="156"/>
      <c r="E13" s="156"/>
      <c r="F13" s="156"/>
      <c r="G13" s="156"/>
      <c r="H13" s="156"/>
      <c r="I13" s="156"/>
      <c r="J13" s="156"/>
      <c r="K13" s="156"/>
      <c r="L13" s="156"/>
      <c r="M13" s="156"/>
      <c r="N13" s="156"/>
      <c r="O13" s="156"/>
      <c r="P13" s="157"/>
      <c r="Q13" s="157"/>
      <c r="R13" s="158"/>
      <c r="S13" s="159"/>
      <c r="T13" s="160"/>
      <c r="U13" s="161"/>
      <c r="X13" s="87"/>
    </row>
    <row r="14" spans="1:42" ht="20.25" x14ac:dyDescent="0.25">
      <c r="A14" s="63"/>
      <c r="B14" s="88"/>
      <c r="C14" s="89" t="s">
        <v>13</v>
      </c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90" t="s">
        <v>14</v>
      </c>
      <c r="Q14" s="91"/>
      <c r="R14" s="162">
        <v>123</v>
      </c>
      <c r="S14" s="163"/>
      <c r="T14" s="82"/>
      <c r="U14" s="77"/>
    </row>
    <row r="15" spans="1:42" ht="20.25" x14ac:dyDescent="0.25">
      <c r="A15" s="63"/>
      <c r="B15" s="92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4" t="s">
        <v>15</v>
      </c>
      <c r="Q15" s="95"/>
      <c r="R15" s="164" t="str">
        <f>+IF(S55="","",(S54+S55+S56+S57+S58) /1000)</f>
        <v/>
      </c>
      <c r="S15" s="165"/>
      <c r="T15" s="160"/>
      <c r="U15" s="161"/>
    </row>
    <row r="16" spans="1:42" ht="20.25" x14ac:dyDescent="0.25">
      <c r="A16" s="63"/>
      <c r="B16" s="96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8" t="s">
        <v>16</v>
      </c>
      <c r="Q16" s="99"/>
      <c r="R16" s="164">
        <f>+SUM(G64:O64)/1000</f>
        <v>0</v>
      </c>
      <c r="S16" s="165"/>
      <c r="T16" s="160"/>
      <c r="U16" s="161"/>
    </row>
    <row r="17" spans="1:37" ht="21" thickBot="1" x14ac:dyDescent="0.3">
      <c r="A17" s="63"/>
      <c r="B17" s="100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2" t="s">
        <v>17</v>
      </c>
      <c r="Q17" s="103" t="s">
        <v>45</v>
      </c>
      <c r="R17" s="204"/>
      <c r="S17" s="205"/>
      <c r="T17" s="82"/>
      <c r="U17" s="77"/>
    </row>
    <row r="18" spans="1:37" ht="20.25" x14ac:dyDescent="0.25">
      <c r="A18" s="63"/>
      <c r="B18" s="64"/>
      <c r="C18" s="206" t="s">
        <v>18</v>
      </c>
      <c r="D18" s="206"/>
      <c r="E18" s="206"/>
      <c r="F18" s="206"/>
      <c r="G18" s="206"/>
      <c r="H18" s="206"/>
      <c r="I18" s="206"/>
      <c r="J18" s="206"/>
      <c r="K18" s="206"/>
      <c r="L18" s="206"/>
      <c r="M18" s="206"/>
      <c r="N18" s="206"/>
      <c r="O18" s="206"/>
      <c r="P18" s="207"/>
      <c r="Q18" s="207"/>
      <c r="R18" s="208" t="e">
        <f>R14/R13/1000</f>
        <v>#DIV/0!</v>
      </c>
      <c r="S18" s="209"/>
      <c r="T18" s="210"/>
      <c r="U18" s="211"/>
    </row>
    <row r="19" spans="1:37" ht="21" thickBot="1" x14ac:dyDescent="0.3">
      <c r="A19" s="63"/>
      <c r="B19" s="68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5" t="s">
        <v>19</v>
      </c>
      <c r="Q19" s="106" t="s">
        <v>20</v>
      </c>
      <c r="R19" s="192"/>
      <c r="S19" s="169"/>
      <c r="T19" s="82"/>
      <c r="U19" s="77"/>
    </row>
    <row r="20" spans="1:37" ht="34.5" thickBot="1" x14ac:dyDescent="0.3">
      <c r="A20" s="61"/>
      <c r="B20" s="183" t="s">
        <v>21</v>
      </c>
      <c r="C20" s="184"/>
      <c r="D20" s="184"/>
      <c r="E20" s="184"/>
      <c r="F20" s="184"/>
      <c r="G20" s="184"/>
      <c r="H20" s="184"/>
      <c r="I20" s="184"/>
      <c r="J20" s="184"/>
      <c r="K20" s="184"/>
      <c r="L20" s="184"/>
      <c r="M20" s="184"/>
      <c r="N20" s="184"/>
      <c r="O20" s="184"/>
      <c r="P20" s="184"/>
      <c r="Q20" s="184"/>
      <c r="R20" s="184"/>
      <c r="S20" s="184"/>
      <c r="T20" s="184"/>
      <c r="U20" s="185"/>
    </row>
    <row r="21" spans="1:37" ht="21" thickBot="1" x14ac:dyDescent="0.3">
      <c r="A21" s="107"/>
      <c r="B21" s="193" t="s">
        <v>22</v>
      </c>
      <c r="C21" s="194"/>
      <c r="D21" s="194"/>
      <c r="E21" s="194"/>
      <c r="F21" s="194"/>
      <c r="G21" s="194"/>
      <c r="H21" s="194"/>
      <c r="I21" s="194"/>
      <c r="J21" s="194"/>
      <c r="K21" s="194"/>
      <c r="L21" s="194"/>
      <c r="M21" s="194"/>
      <c r="N21" s="194"/>
      <c r="O21" s="194"/>
      <c r="P21" s="194"/>
      <c r="Q21" s="197" t="s">
        <v>23</v>
      </c>
      <c r="R21" s="199" t="s">
        <v>24</v>
      </c>
      <c r="S21" s="201" t="s">
        <v>25</v>
      </c>
      <c r="T21" s="202"/>
      <c r="U21" s="203"/>
    </row>
    <row r="22" spans="1:37" ht="27" customHeight="1" thickBot="1" x14ac:dyDescent="0.3">
      <c r="A22" s="107"/>
      <c r="B22" s="195"/>
      <c r="C22" s="196"/>
      <c r="D22" s="196"/>
      <c r="E22" s="196"/>
      <c r="F22" s="196"/>
      <c r="G22" s="196"/>
      <c r="H22" s="196"/>
      <c r="I22" s="196"/>
      <c r="J22" s="196"/>
      <c r="K22" s="196"/>
      <c r="L22" s="196"/>
      <c r="M22" s="196"/>
      <c r="N22" s="196"/>
      <c r="O22" s="196"/>
      <c r="P22" s="196"/>
      <c r="Q22" s="198"/>
      <c r="R22" s="200"/>
      <c r="S22" s="108" t="s">
        <v>26</v>
      </c>
      <c r="T22" s="109" t="s">
        <v>83</v>
      </c>
      <c r="U22" s="110" t="s">
        <v>28</v>
      </c>
      <c r="X22" s="111"/>
      <c r="Y22" s="111"/>
      <c r="Z22" s="111"/>
      <c r="AA22" s="111"/>
      <c r="AB22" s="111"/>
      <c r="AC22" s="111"/>
      <c r="AD22" s="111"/>
      <c r="AE22" s="111"/>
      <c r="AF22" s="111"/>
      <c r="AG22" s="111"/>
      <c r="AH22" s="111"/>
      <c r="AI22" s="111"/>
      <c r="AJ22" s="111"/>
      <c r="AK22" s="111"/>
    </row>
    <row r="23" spans="1:37" ht="20.25" x14ac:dyDescent="0.25">
      <c r="A23" s="107"/>
      <c r="B23" s="214" t="s">
        <v>29</v>
      </c>
      <c r="C23" s="215"/>
      <c r="D23" s="215"/>
      <c r="E23" s="215"/>
      <c r="F23" s="215"/>
      <c r="G23" s="215"/>
      <c r="H23" s="215"/>
      <c r="I23" s="215"/>
      <c r="J23" s="215"/>
      <c r="K23" s="215"/>
      <c r="L23" s="215"/>
      <c r="M23" s="215"/>
      <c r="N23" s="215"/>
      <c r="O23" s="215"/>
      <c r="P23" s="216"/>
      <c r="Q23" s="112"/>
      <c r="R23" s="1"/>
      <c r="S23" s="2"/>
      <c r="T23" s="3"/>
      <c r="U23" s="4"/>
      <c r="X23" s="111"/>
      <c r="Y23" s="111"/>
      <c r="Z23" s="111"/>
      <c r="AA23" s="111"/>
      <c r="AB23" s="111"/>
      <c r="AC23" s="111"/>
      <c r="AD23" s="111"/>
      <c r="AE23" s="111"/>
      <c r="AF23" s="111"/>
      <c r="AG23" s="111"/>
      <c r="AH23" s="111"/>
      <c r="AI23" s="111"/>
      <c r="AJ23" s="111"/>
      <c r="AK23" s="111"/>
    </row>
    <row r="24" spans="1:37" ht="20.25" x14ac:dyDescent="0.25">
      <c r="A24" s="107"/>
      <c r="B24" s="113"/>
      <c r="C24" s="114" t="s">
        <v>30</v>
      </c>
      <c r="D24" s="217" t="s">
        <v>31</v>
      </c>
      <c r="E24" s="218"/>
      <c r="F24" s="217" t="s">
        <v>32</v>
      </c>
      <c r="G24" s="218"/>
      <c r="H24" s="217" t="s">
        <v>33</v>
      </c>
      <c r="I24" s="218"/>
      <c r="J24" s="219"/>
      <c r="K24" s="220"/>
      <c r="L24" s="220"/>
      <c r="M24" s="220"/>
      <c r="N24" s="220"/>
      <c r="O24" s="220"/>
      <c r="P24" s="115"/>
      <c r="Q24" s="112"/>
      <c r="R24" s="5"/>
      <c r="S24" s="6"/>
      <c r="T24" s="7"/>
      <c r="U24" s="8"/>
      <c r="X24" s="111"/>
      <c r="Y24" s="111"/>
      <c r="Z24" s="111"/>
      <c r="AA24" s="111"/>
      <c r="AB24" s="111"/>
      <c r="AC24" s="111"/>
      <c r="AD24" s="111"/>
      <c r="AE24" s="111"/>
      <c r="AF24" s="111"/>
      <c r="AG24" s="111"/>
      <c r="AH24" s="111"/>
      <c r="AI24" s="111"/>
      <c r="AJ24" s="111"/>
      <c r="AK24" s="111"/>
    </row>
    <row r="25" spans="1:37" ht="20.25" x14ac:dyDescent="0.25">
      <c r="A25" s="107"/>
      <c r="B25" s="116"/>
      <c r="C25" s="117" t="s">
        <v>34</v>
      </c>
      <c r="D25" s="212"/>
      <c r="E25" s="212"/>
      <c r="F25" s="212"/>
      <c r="G25" s="212"/>
      <c r="H25" s="212"/>
      <c r="I25" s="212"/>
      <c r="J25" s="118"/>
      <c r="K25" s="119"/>
      <c r="L25" s="119"/>
      <c r="M25" s="119"/>
      <c r="N25" s="119"/>
      <c r="O25" s="119"/>
      <c r="P25" s="120"/>
      <c r="Q25" s="121" t="s">
        <v>35</v>
      </c>
      <c r="R25" s="9" t="s">
        <v>93</v>
      </c>
      <c r="S25" s="10">
        <f>+SUM(D25:I25)</f>
        <v>0</v>
      </c>
      <c r="T25" s="11">
        <f>+(1000/$R$14)</f>
        <v>8.1300813008130088</v>
      </c>
      <c r="U25" s="34">
        <f>+IF(S25="","",S25*T25)</f>
        <v>0</v>
      </c>
      <c r="X25" s="111"/>
      <c r="Y25" s="111"/>
      <c r="Z25" s="37"/>
      <c r="AA25" s="111"/>
      <c r="AB25" s="111"/>
      <c r="AC25" s="111"/>
      <c r="AD25" s="111"/>
      <c r="AE25" s="111"/>
      <c r="AF25" s="111"/>
      <c r="AG25" s="111"/>
      <c r="AH25" s="111"/>
      <c r="AI25" s="111"/>
      <c r="AJ25" s="111"/>
      <c r="AK25" s="111"/>
    </row>
    <row r="26" spans="1:37" ht="20.25" x14ac:dyDescent="0.25">
      <c r="A26" s="63"/>
      <c r="B26" s="122"/>
      <c r="C26" s="123" t="s">
        <v>36</v>
      </c>
      <c r="D26" s="213"/>
      <c r="E26" s="213"/>
      <c r="F26" s="213"/>
      <c r="G26" s="213"/>
      <c r="H26" s="213"/>
      <c r="I26" s="213"/>
      <c r="J26" s="124"/>
      <c r="K26" s="125"/>
      <c r="L26" s="125"/>
      <c r="M26" s="125"/>
      <c r="N26" s="125"/>
      <c r="O26" s="125"/>
      <c r="P26" s="126"/>
      <c r="Q26" s="127" t="s">
        <v>37</v>
      </c>
      <c r="R26" s="40" t="s">
        <v>94</v>
      </c>
      <c r="S26" s="10">
        <f>+SUM(D26:I26)</f>
        <v>0</v>
      </c>
      <c r="T26" s="11">
        <f>+(1000/$R$14)</f>
        <v>8.1300813008130088</v>
      </c>
      <c r="U26" s="34">
        <f>+IF(S26="","",S26*T26)</f>
        <v>0</v>
      </c>
      <c r="X26" s="111"/>
      <c r="Y26" s="111"/>
      <c r="Z26" s="37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</row>
    <row r="27" spans="1:37" ht="20.25" x14ac:dyDescent="0.25">
      <c r="A27" s="63"/>
      <c r="B27" s="221" t="s">
        <v>38</v>
      </c>
      <c r="C27" s="222"/>
      <c r="D27" s="222"/>
      <c r="E27" s="222"/>
      <c r="F27" s="222"/>
      <c r="G27" s="222"/>
      <c r="H27" s="222"/>
      <c r="I27" s="222"/>
      <c r="J27" s="222"/>
      <c r="K27" s="222"/>
      <c r="L27" s="222"/>
      <c r="M27" s="222"/>
      <c r="N27" s="222"/>
      <c r="O27" s="222"/>
      <c r="P27" s="223"/>
      <c r="Q27" s="112"/>
      <c r="R27" s="9"/>
      <c r="S27" s="13"/>
      <c r="T27" s="14"/>
      <c r="U27" s="15"/>
      <c r="X27" s="111"/>
      <c r="Y27" s="111"/>
      <c r="Z27" s="111"/>
      <c r="AA27" s="111"/>
      <c r="AB27" s="111"/>
      <c r="AC27" s="111"/>
      <c r="AD27" s="111"/>
      <c r="AE27" s="111"/>
      <c r="AF27" s="111"/>
      <c r="AG27" s="111"/>
      <c r="AH27" s="111"/>
      <c r="AI27" s="111"/>
      <c r="AJ27" s="111"/>
      <c r="AK27" s="111"/>
    </row>
    <row r="28" spans="1:37" ht="21" thickBot="1" x14ac:dyDescent="0.3">
      <c r="A28" s="63"/>
      <c r="B28" s="128"/>
      <c r="C28" s="129" t="s">
        <v>41</v>
      </c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19"/>
      <c r="Q28" s="121" t="s">
        <v>37</v>
      </c>
      <c r="R28" s="41"/>
      <c r="S28" s="19">
        <v>2</v>
      </c>
      <c r="T28" s="11">
        <f>+(1000/$R$14)</f>
        <v>8.1300813008130088</v>
      </c>
      <c r="U28" s="34">
        <f>+IF(S28="","",S28*T28)</f>
        <v>16.260162601626018</v>
      </c>
      <c r="X28" s="111"/>
      <c r="Y28" s="111"/>
      <c r="Z28" s="37"/>
      <c r="AA28" s="111"/>
      <c r="AB28" s="111"/>
      <c r="AC28" s="111"/>
      <c r="AD28" s="111"/>
      <c r="AE28" s="111"/>
      <c r="AF28" s="111"/>
      <c r="AG28" s="111"/>
      <c r="AH28" s="111"/>
      <c r="AI28" s="111"/>
      <c r="AJ28" s="111"/>
      <c r="AK28" s="111"/>
    </row>
    <row r="29" spans="1:37" ht="21" thickBot="1" x14ac:dyDescent="0.3">
      <c r="A29" s="63"/>
      <c r="B29" s="193" t="s">
        <v>42</v>
      </c>
      <c r="C29" s="194"/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7" t="s">
        <v>23</v>
      </c>
      <c r="R29" s="199" t="s">
        <v>24</v>
      </c>
      <c r="S29" s="201" t="s">
        <v>25</v>
      </c>
      <c r="T29" s="202"/>
      <c r="U29" s="203"/>
      <c r="X29" s="111"/>
      <c r="Y29" s="111"/>
      <c r="Z29" s="111"/>
      <c r="AA29" s="111"/>
      <c r="AB29" s="111"/>
      <c r="AC29" s="111"/>
      <c r="AD29" s="111"/>
      <c r="AE29" s="111"/>
      <c r="AF29" s="111"/>
      <c r="AG29" s="111"/>
      <c r="AH29" s="111"/>
      <c r="AI29" s="111"/>
      <c r="AJ29" s="111"/>
      <c r="AK29" s="111"/>
    </row>
    <row r="30" spans="1:37" ht="32.25" thickBot="1" x14ac:dyDescent="0.3">
      <c r="A30" s="63"/>
      <c r="B30" s="195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8"/>
      <c r="R30" s="200"/>
      <c r="S30" s="108" t="s">
        <v>26</v>
      </c>
      <c r="T30" s="109" t="s">
        <v>27</v>
      </c>
      <c r="U30" s="110" t="s">
        <v>28</v>
      </c>
      <c r="X30" s="111"/>
      <c r="Y30" s="111"/>
      <c r="Z30" s="111"/>
      <c r="AA30" s="111"/>
      <c r="AB30" s="111"/>
      <c r="AC30" s="111"/>
      <c r="AD30" s="111"/>
      <c r="AE30" s="111"/>
      <c r="AF30" s="111"/>
      <c r="AG30" s="111"/>
      <c r="AH30" s="111"/>
      <c r="AI30" s="111"/>
      <c r="AJ30" s="111"/>
      <c r="AK30" s="111"/>
    </row>
    <row r="31" spans="1:37" ht="20.25" x14ac:dyDescent="0.25">
      <c r="A31" s="107"/>
      <c r="B31" s="214" t="s">
        <v>29</v>
      </c>
      <c r="C31" s="215"/>
      <c r="D31" s="215"/>
      <c r="E31" s="215"/>
      <c r="F31" s="215"/>
      <c r="G31" s="215"/>
      <c r="H31" s="215"/>
      <c r="I31" s="215"/>
      <c r="J31" s="215"/>
      <c r="K31" s="215"/>
      <c r="L31" s="215"/>
      <c r="M31" s="215"/>
      <c r="N31" s="215"/>
      <c r="O31" s="215"/>
      <c r="P31" s="216"/>
      <c r="Q31" s="130"/>
      <c r="R31" s="1"/>
      <c r="S31" s="2"/>
      <c r="T31" s="3"/>
      <c r="U31" s="16"/>
      <c r="X31" s="111"/>
      <c r="Y31" s="111"/>
      <c r="Z31" s="111"/>
      <c r="AA31" s="111"/>
      <c r="AB31" s="111"/>
      <c r="AC31" s="111"/>
      <c r="AD31" s="111"/>
      <c r="AE31" s="111"/>
      <c r="AF31" s="111"/>
      <c r="AG31" s="111"/>
      <c r="AH31" s="111"/>
      <c r="AI31" s="111"/>
      <c r="AJ31" s="111"/>
      <c r="AK31" s="111"/>
    </row>
    <row r="32" spans="1:37" ht="20.25" x14ac:dyDescent="0.25">
      <c r="A32" s="107"/>
      <c r="B32" s="128"/>
      <c r="C32" s="129" t="s">
        <v>43</v>
      </c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19"/>
      <c r="Q32" s="121" t="s">
        <v>81</v>
      </c>
      <c r="R32" s="41" t="s">
        <v>90</v>
      </c>
      <c r="S32" s="30"/>
      <c r="T32" s="11">
        <f>+(1000/$R$14)</f>
        <v>8.1300813008130088</v>
      </c>
      <c r="U32" s="34" t="str">
        <f>+IF(S32="","",S32*T32)</f>
        <v/>
      </c>
      <c r="X32" s="111"/>
      <c r="Y32" s="111"/>
      <c r="Z32" s="37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</row>
    <row r="33" spans="1:37" ht="11.45" customHeight="1" x14ac:dyDescent="0.25">
      <c r="A33" s="63"/>
      <c r="B33" s="128"/>
      <c r="C33" s="129"/>
      <c r="D33" s="129"/>
      <c r="E33" s="129"/>
      <c r="F33" s="129"/>
      <c r="G33" s="129"/>
      <c r="H33" s="129"/>
      <c r="I33" s="129"/>
      <c r="J33" s="129"/>
      <c r="K33" s="129"/>
      <c r="L33" s="129"/>
      <c r="M33" s="129"/>
      <c r="N33" s="129"/>
      <c r="O33" s="129"/>
      <c r="P33" s="119"/>
      <c r="Q33" s="121"/>
      <c r="R33" s="9"/>
      <c r="S33" s="17"/>
      <c r="T33" s="11"/>
      <c r="U33" s="18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</row>
    <row r="34" spans="1:37" ht="21" thickBot="1" x14ac:dyDescent="0.3">
      <c r="A34" s="63"/>
      <c r="B34" s="128"/>
      <c r="C34" s="129" t="s">
        <v>119</v>
      </c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19"/>
      <c r="Q34" s="127" t="s">
        <v>81</v>
      </c>
      <c r="R34" s="40" t="s">
        <v>90</v>
      </c>
      <c r="S34" s="60"/>
      <c r="T34" s="11">
        <f>+(1000/$R$14)</f>
        <v>8.1300813008130088</v>
      </c>
      <c r="U34" s="34" t="str">
        <f>+IF(S34="","",S34*T34)</f>
        <v/>
      </c>
      <c r="X34" s="111"/>
      <c r="Y34" s="111"/>
      <c r="Z34" s="37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</row>
    <row r="35" spans="1:37" ht="21" thickBot="1" x14ac:dyDescent="0.3">
      <c r="A35" s="63"/>
      <c r="B35" s="193" t="s">
        <v>44</v>
      </c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197" t="s">
        <v>23</v>
      </c>
      <c r="R35" s="199" t="s">
        <v>24</v>
      </c>
      <c r="S35" s="201" t="s">
        <v>25</v>
      </c>
      <c r="T35" s="202"/>
      <c r="U35" s="203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1"/>
    </row>
    <row r="36" spans="1:37" ht="32.25" thickBot="1" x14ac:dyDescent="0.3">
      <c r="A36" s="63"/>
      <c r="B36" s="195"/>
      <c r="C36" s="196"/>
      <c r="D36" s="196"/>
      <c r="E36" s="196"/>
      <c r="F36" s="196"/>
      <c r="G36" s="196"/>
      <c r="H36" s="196"/>
      <c r="I36" s="196"/>
      <c r="J36" s="196"/>
      <c r="K36" s="196"/>
      <c r="L36" s="196"/>
      <c r="M36" s="196"/>
      <c r="N36" s="196"/>
      <c r="O36" s="196"/>
      <c r="P36" s="196"/>
      <c r="Q36" s="198"/>
      <c r="R36" s="200"/>
      <c r="S36" s="108" t="s">
        <v>26</v>
      </c>
      <c r="T36" s="109" t="s">
        <v>27</v>
      </c>
      <c r="U36" s="110" t="s">
        <v>28</v>
      </c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/>
    </row>
    <row r="37" spans="1:37" ht="20.25" x14ac:dyDescent="0.25">
      <c r="A37" s="107"/>
      <c r="B37" s="214" t="s">
        <v>29</v>
      </c>
      <c r="C37" s="215"/>
      <c r="D37" s="215"/>
      <c r="E37" s="215"/>
      <c r="F37" s="215"/>
      <c r="G37" s="215"/>
      <c r="H37" s="215"/>
      <c r="I37" s="215"/>
      <c r="J37" s="215"/>
      <c r="K37" s="215"/>
      <c r="L37" s="215"/>
      <c r="M37" s="215"/>
      <c r="N37" s="215"/>
      <c r="O37" s="215"/>
      <c r="P37" s="216"/>
      <c r="Q37" s="130"/>
      <c r="R37" s="1"/>
      <c r="S37" s="2"/>
      <c r="T37" s="3"/>
      <c r="U37" s="4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  <c r="AH37" s="111"/>
      <c r="AI37" s="111"/>
      <c r="AJ37" s="111"/>
      <c r="AK37" s="111"/>
    </row>
    <row r="38" spans="1:37" ht="20.25" x14ac:dyDescent="0.25">
      <c r="A38" s="107"/>
      <c r="B38" s="128"/>
      <c r="C38" s="129" t="s">
        <v>46</v>
      </c>
      <c r="D38" s="129"/>
      <c r="E38" s="217" t="s">
        <v>87</v>
      </c>
      <c r="F38" s="218"/>
      <c r="G38" s="217"/>
      <c r="H38" s="218"/>
      <c r="I38" s="217"/>
      <c r="J38" s="218"/>
      <c r="K38" s="217"/>
      <c r="L38" s="218"/>
      <c r="M38" s="217"/>
      <c r="N38" s="218"/>
      <c r="O38" s="217"/>
      <c r="P38" s="218"/>
      <c r="Q38" s="121"/>
      <c r="R38" s="9"/>
      <c r="S38" s="17"/>
      <c r="T38" s="11"/>
      <c r="U38" s="12"/>
      <c r="X38" s="111"/>
      <c r="Y38" s="111"/>
      <c r="Z38" s="37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1"/>
    </row>
    <row r="39" spans="1:37" ht="20.25" x14ac:dyDescent="0.25">
      <c r="A39" s="107"/>
      <c r="B39" s="131"/>
      <c r="C39" s="132" t="s">
        <v>36</v>
      </c>
      <c r="D39" s="133"/>
      <c r="E39" s="213"/>
      <c r="F39" s="213"/>
      <c r="G39" s="224"/>
      <c r="H39" s="224"/>
      <c r="I39" s="224"/>
      <c r="J39" s="224"/>
      <c r="K39" s="224"/>
      <c r="L39" s="224"/>
      <c r="M39" s="224"/>
      <c r="N39" s="224"/>
      <c r="O39" s="224"/>
      <c r="P39" s="224"/>
      <c r="Q39" s="127" t="s">
        <v>80</v>
      </c>
      <c r="R39" s="40" t="s">
        <v>92</v>
      </c>
      <c r="S39" s="33">
        <f>+SUM(D39:P39)</f>
        <v>0</v>
      </c>
      <c r="T39" s="11">
        <f>+(1000/$R$14)</f>
        <v>8.1300813008130088</v>
      </c>
      <c r="U39" s="34">
        <f>+IF(S39="","",S39*T39)</f>
        <v>0</v>
      </c>
      <c r="X39" s="111"/>
      <c r="Y39" s="111"/>
      <c r="Z39" s="37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</row>
    <row r="40" spans="1:37" ht="20.25" x14ac:dyDescent="0.25">
      <c r="A40" s="63"/>
      <c r="B40" s="221" t="s">
        <v>38</v>
      </c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  <c r="O40" s="222"/>
      <c r="P40" s="223"/>
      <c r="Q40" s="112"/>
      <c r="R40" s="5"/>
      <c r="S40" s="13"/>
      <c r="T40" s="21"/>
      <c r="U40" s="22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</row>
    <row r="41" spans="1:37" ht="21" thickBot="1" x14ac:dyDescent="0.3">
      <c r="A41" s="63"/>
      <c r="B41" s="134"/>
      <c r="C41" s="114" t="s">
        <v>91</v>
      </c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25"/>
      <c r="Q41" s="127"/>
      <c r="R41" s="40" t="s">
        <v>89</v>
      </c>
      <c r="S41" s="23"/>
      <c r="T41" s="11">
        <f>+(1000/$R$14)</f>
        <v>8.1300813008130088</v>
      </c>
      <c r="U41" s="34">
        <f>+IF(S41="",0,S41*T41)</f>
        <v>0</v>
      </c>
      <c r="X41" s="111"/>
      <c r="Y41" s="111"/>
      <c r="Z41" s="37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</row>
    <row r="42" spans="1:37" ht="21" thickBot="1" x14ac:dyDescent="0.3">
      <c r="A42" s="107"/>
      <c r="B42" s="193" t="s">
        <v>47</v>
      </c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  <c r="O42" s="194"/>
      <c r="P42" s="194"/>
      <c r="Q42" s="197" t="s">
        <v>23</v>
      </c>
      <c r="R42" s="199" t="s">
        <v>24</v>
      </c>
      <c r="S42" s="201" t="s">
        <v>25</v>
      </c>
      <c r="T42" s="202"/>
      <c r="U42" s="203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</row>
    <row r="43" spans="1:37" ht="32.25" thickBot="1" x14ac:dyDescent="0.3">
      <c r="A43" s="107"/>
      <c r="B43" s="195"/>
      <c r="C43" s="196"/>
      <c r="D43" s="196"/>
      <c r="E43" s="196"/>
      <c r="F43" s="196"/>
      <c r="G43" s="196"/>
      <c r="H43" s="196"/>
      <c r="I43" s="196"/>
      <c r="J43" s="196"/>
      <c r="K43" s="196"/>
      <c r="L43" s="196"/>
      <c r="M43" s="196"/>
      <c r="N43" s="196"/>
      <c r="O43" s="196"/>
      <c r="P43" s="196"/>
      <c r="Q43" s="198"/>
      <c r="R43" s="200"/>
      <c r="S43" s="108" t="s">
        <v>26</v>
      </c>
      <c r="T43" s="109" t="s">
        <v>27</v>
      </c>
      <c r="U43" s="110" t="s">
        <v>28</v>
      </c>
      <c r="X43" s="111"/>
      <c r="Y43" s="111"/>
      <c r="Z43" s="111"/>
      <c r="AA43" s="111"/>
      <c r="AB43" s="111"/>
      <c r="AC43" s="111"/>
      <c r="AD43" s="111"/>
      <c r="AE43" s="111"/>
      <c r="AF43" s="111"/>
      <c r="AG43" s="111"/>
      <c r="AH43" s="111"/>
      <c r="AI43" s="111"/>
      <c r="AJ43" s="111"/>
      <c r="AK43" s="111"/>
    </row>
    <row r="44" spans="1:37" ht="24" customHeight="1" x14ac:dyDescent="0.25">
      <c r="A44" s="107"/>
      <c r="B44" s="214" t="s">
        <v>29</v>
      </c>
      <c r="C44" s="215"/>
      <c r="D44" s="215"/>
      <c r="E44" s="215"/>
      <c r="F44" s="215"/>
      <c r="G44" s="215"/>
      <c r="H44" s="215"/>
      <c r="I44" s="215"/>
      <c r="J44" s="215"/>
      <c r="K44" s="215"/>
      <c r="L44" s="215"/>
      <c r="M44" s="215"/>
      <c r="N44" s="215"/>
      <c r="O44" s="215"/>
      <c r="P44" s="216"/>
      <c r="Q44" s="130"/>
      <c r="R44" s="24"/>
      <c r="S44" s="2"/>
      <c r="T44" s="3"/>
      <c r="U44" s="4"/>
      <c r="X44" s="111"/>
      <c r="Y44" s="111"/>
      <c r="Z44" s="111"/>
      <c r="AA44" s="111"/>
      <c r="AB44" s="111"/>
      <c r="AC44" s="111"/>
      <c r="AD44" s="111"/>
      <c r="AE44" s="111"/>
      <c r="AF44" s="111"/>
      <c r="AG44" s="111"/>
      <c r="AH44" s="111"/>
      <c r="AI44" s="111"/>
      <c r="AJ44" s="111"/>
      <c r="AK44" s="111"/>
    </row>
    <row r="45" spans="1:37" ht="20.25" x14ac:dyDescent="0.25">
      <c r="A45" s="107"/>
      <c r="B45" s="135"/>
      <c r="C45" s="136" t="s">
        <v>48</v>
      </c>
      <c r="D45" s="136"/>
      <c r="E45" s="136"/>
      <c r="F45" s="136"/>
      <c r="G45" s="137" t="s">
        <v>49</v>
      </c>
      <c r="H45" s="136"/>
      <c r="I45" s="136"/>
      <c r="J45" s="136"/>
      <c r="K45" s="136"/>
      <c r="L45" s="136"/>
      <c r="M45" s="136"/>
      <c r="N45" s="136"/>
      <c r="O45" s="136"/>
      <c r="P45" s="138"/>
      <c r="Q45" s="121"/>
      <c r="R45" s="42"/>
      <c r="S45" s="26"/>
      <c r="T45" s="11">
        <f>+(1000/$R$14)</f>
        <v>8.1300813008130088</v>
      </c>
      <c r="U45" s="12" t="str">
        <f>+IF(S45="","",S45*T45)</f>
        <v/>
      </c>
      <c r="X45" s="111"/>
      <c r="Y45" s="111"/>
      <c r="Z45" s="111"/>
      <c r="AA45" s="111"/>
      <c r="AB45" s="111"/>
      <c r="AC45" s="111"/>
      <c r="AD45" s="111"/>
      <c r="AE45" s="111"/>
      <c r="AF45" s="111"/>
      <c r="AG45" s="111"/>
      <c r="AH45" s="111"/>
      <c r="AI45" s="111"/>
      <c r="AJ45" s="111"/>
      <c r="AK45" s="111"/>
    </row>
    <row r="46" spans="1:37" ht="21" thickBot="1" x14ac:dyDescent="0.3">
      <c r="A46" s="107"/>
      <c r="B46" s="135"/>
      <c r="C46" s="136"/>
      <c r="D46" s="136"/>
      <c r="E46" s="136"/>
      <c r="F46" s="136"/>
      <c r="G46" s="137" t="s">
        <v>50</v>
      </c>
      <c r="H46" s="136"/>
      <c r="I46" s="136"/>
      <c r="J46" s="136"/>
      <c r="K46" s="136"/>
      <c r="L46" s="136"/>
      <c r="M46" s="136"/>
      <c r="N46" s="136"/>
      <c r="O46" s="136"/>
      <c r="P46" s="138"/>
      <c r="Q46" s="121"/>
      <c r="R46" s="39" t="s">
        <v>98</v>
      </c>
      <c r="S46" s="26"/>
      <c r="T46" s="11">
        <f>+(1000/$R$14)</f>
        <v>8.1300813008130088</v>
      </c>
      <c r="U46" s="12" t="str">
        <f>+IF(S46="","",S46*T46)</f>
        <v/>
      </c>
      <c r="X46" s="111"/>
      <c r="Y46" s="111"/>
      <c r="Z46" s="37"/>
      <c r="AA46" s="111"/>
      <c r="AB46" s="111"/>
      <c r="AC46" s="111"/>
      <c r="AD46" s="111"/>
      <c r="AE46" s="111"/>
      <c r="AF46" s="111"/>
      <c r="AG46" s="111"/>
      <c r="AH46" s="111"/>
      <c r="AI46" s="111"/>
      <c r="AJ46" s="111"/>
      <c r="AK46" s="111"/>
    </row>
    <row r="47" spans="1:37" ht="21" thickBot="1" x14ac:dyDescent="0.3">
      <c r="A47" s="107"/>
      <c r="B47" s="193" t="s">
        <v>51</v>
      </c>
      <c r="C47" s="194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  <c r="O47" s="194"/>
      <c r="P47" s="194"/>
      <c r="Q47" s="197" t="s">
        <v>23</v>
      </c>
      <c r="R47" s="199" t="s">
        <v>24</v>
      </c>
      <c r="S47" s="201" t="s">
        <v>25</v>
      </c>
      <c r="T47" s="202"/>
      <c r="U47" s="203"/>
      <c r="X47" s="111"/>
      <c r="Y47" s="111"/>
      <c r="Z47" s="111"/>
      <c r="AA47" s="111"/>
      <c r="AB47" s="111"/>
      <c r="AC47" s="111"/>
      <c r="AD47" s="111"/>
      <c r="AE47" s="111"/>
      <c r="AF47" s="111"/>
      <c r="AG47" s="111"/>
      <c r="AH47" s="111"/>
      <c r="AI47" s="111"/>
      <c r="AJ47" s="111"/>
      <c r="AK47" s="111"/>
    </row>
    <row r="48" spans="1:37" ht="32.25" thickBot="1" x14ac:dyDescent="0.3">
      <c r="A48" s="107"/>
      <c r="B48" s="195"/>
      <c r="C48" s="196"/>
      <c r="D48" s="196"/>
      <c r="E48" s="196"/>
      <c r="F48" s="196"/>
      <c r="G48" s="196"/>
      <c r="H48" s="196"/>
      <c r="I48" s="196"/>
      <c r="J48" s="196"/>
      <c r="K48" s="196"/>
      <c r="L48" s="196"/>
      <c r="M48" s="196"/>
      <c r="N48" s="196"/>
      <c r="O48" s="196"/>
      <c r="P48" s="196"/>
      <c r="Q48" s="198"/>
      <c r="R48" s="200"/>
      <c r="S48" s="108" t="s">
        <v>26</v>
      </c>
      <c r="T48" s="109" t="s">
        <v>27</v>
      </c>
      <c r="U48" s="110" t="s">
        <v>28</v>
      </c>
      <c r="X48" s="111"/>
      <c r="Y48" s="111"/>
      <c r="Z48" s="111"/>
      <c r="AA48" s="111"/>
      <c r="AB48" s="111"/>
      <c r="AC48" s="111"/>
      <c r="AD48" s="111"/>
      <c r="AE48" s="111"/>
      <c r="AF48" s="111"/>
      <c r="AG48" s="111"/>
      <c r="AH48" s="111"/>
      <c r="AI48" s="111"/>
      <c r="AJ48" s="111"/>
      <c r="AK48" s="111"/>
    </row>
    <row r="49" spans="1:37" ht="20.25" x14ac:dyDescent="0.25">
      <c r="A49" s="107"/>
      <c r="B49" s="214" t="s">
        <v>29</v>
      </c>
      <c r="C49" s="215"/>
      <c r="D49" s="215"/>
      <c r="E49" s="215"/>
      <c r="F49" s="215"/>
      <c r="G49" s="215"/>
      <c r="H49" s="215"/>
      <c r="I49" s="215"/>
      <c r="J49" s="215"/>
      <c r="K49" s="215"/>
      <c r="L49" s="215"/>
      <c r="M49" s="215"/>
      <c r="N49" s="215"/>
      <c r="O49" s="215"/>
      <c r="P49" s="216"/>
      <c r="Q49" s="130"/>
      <c r="R49" s="24"/>
      <c r="S49" s="2"/>
      <c r="T49" s="3"/>
      <c r="U49" s="4"/>
      <c r="X49" s="111"/>
      <c r="Y49" s="111"/>
      <c r="Z49" s="111"/>
      <c r="AA49" s="111"/>
      <c r="AB49" s="111"/>
      <c r="AC49" s="111"/>
      <c r="AD49" s="111"/>
      <c r="AE49" s="111"/>
      <c r="AF49" s="111"/>
      <c r="AG49" s="111"/>
      <c r="AH49" s="111"/>
      <c r="AI49" s="111"/>
      <c r="AJ49" s="111"/>
      <c r="AK49" s="111"/>
    </row>
    <row r="50" spans="1:37" ht="20.25" x14ac:dyDescent="0.25">
      <c r="A50" s="107"/>
      <c r="B50" s="128"/>
      <c r="C50" s="129" t="s">
        <v>52</v>
      </c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19"/>
      <c r="Q50" s="121" t="s">
        <v>45</v>
      </c>
      <c r="R50" s="43"/>
      <c r="S50" s="10" t="str">
        <f>IF(S55="","",S55+S56+S57+S58)</f>
        <v/>
      </c>
      <c r="T50" s="28" t="str">
        <f>CONCATENATE("On "," ",$R$15," ","KG")</f>
        <v>On   KG</v>
      </c>
      <c r="U50" s="20" t="str">
        <f>IF(S50="","",S50/($R$15*1000))</f>
        <v/>
      </c>
      <c r="X50" s="111"/>
      <c r="Y50" s="111"/>
      <c r="Z50" s="37"/>
      <c r="AA50" s="111"/>
      <c r="AB50" s="111"/>
      <c r="AC50" s="111"/>
      <c r="AD50" s="111"/>
      <c r="AE50" s="111"/>
      <c r="AF50" s="111"/>
      <c r="AG50" s="111"/>
      <c r="AH50" s="111"/>
      <c r="AI50" s="111"/>
      <c r="AJ50" s="111"/>
      <c r="AK50" s="111"/>
    </row>
    <row r="51" spans="1:37" ht="20.25" x14ac:dyDescent="0.25">
      <c r="A51" s="107"/>
      <c r="B51" s="128"/>
      <c r="C51" s="129" t="s">
        <v>54</v>
      </c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19"/>
      <c r="Q51" s="121" t="s">
        <v>45</v>
      </c>
      <c r="R51" s="25">
        <v>0</v>
      </c>
      <c r="S51" s="10" t="str">
        <f>IF(S56="","",S56+S57+S58)</f>
        <v/>
      </c>
      <c r="T51" s="28" t="str">
        <f>CONCATENATE("On "," ",$R$15," ","KG")</f>
        <v>On   KG</v>
      </c>
      <c r="U51" s="20" t="str">
        <f>IF(S51="","",S51/($R$15*1000))</f>
        <v/>
      </c>
      <c r="X51" s="111"/>
      <c r="Y51" s="111"/>
      <c r="Z51" s="37"/>
      <c r="AA51" s="111"/>
      <c r="AB51" s="111"/>
      <c r="AC51" s="111"/>
      <c r="AD51" s="111"/>
      <c r="AE51" s="111"/>
      <c r="AF51" s="111"/>
      <c r="AG51" s="111"/>
      <c r="AH51" s="111"/>
      <c r="AI51" s="111"/>
      <c r="AJ51" s="111"/>
      <c r="AK51" s="111"/>
    </row>
    <row r="52" spans="1:37" ht="20.25" x14ac:dyDescent="0.25">
      <c r="A52" s="107"/>
      <c r="B52" s="134"/>
      <c r="C52" s="114" t="s">
        <v>95</v>
      </c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25"/>
      <c r="Q52" s="127" t="s">
        <v>45</v>
      </c>
      <c r="R52" s="44"/>
      <c r="S52" s="35" t="str">
        <f>IF(S57="","",S57+S58+S59)</f>
        <v/>
      </c>
      <c r="T52" s="36" t="str">
        <f>CONCATENATE("On "," ",$R$15," ","KG")</f>
        <v>On   KG</v>
      </c>
      <c r="U52" s="20" t="str">
        <f>IF(S52="","",S52/($R$15*1000))</f>
        <v/>
      </c>
      <c r="X52" s="111"/>
      <c r="Y52" s="111"/>
      <c r="Z52" s="37"/>
      <c r="AA52" s="111"/>
      <c r="AB52" s="111"/>
      <c r="AC52" s="111"/>
      <c r="AD52" s="111"/>
      <c r="AE52" s="111"/>
      <c r="AF52" s="111"/>
      <c r="AG52" s="111"/>
      <c r="AH52" s="111"/>
      <c r="AI52" s="111"/>
      <c r="AJ52" s="111"/>
      <c r="AK52" s="111"/>
    </row>
    <row r="53" spans="1:37" ht="20.25" x14ac:dyDescent="0.25">
      <c r="A53" s="63"/>
      <c r="B53" s="221" t="s">
        <v>38</v>
      </c>
      <c r="C53" s="222"/>
      <c r="D53" s="222"/>
      <c r="E53" s="222"/>
      <c r="F53" s="222"/>
      <c r="G53" s="222"/>
      <c r="H53" s="222"/>
      <c r="I53" s="222"/>
      <c r="J53" s="222"/>
      <c r="K53" s="222"/>
      <c r="L53" s="222"/>
      <c r="M53" s="222"/>
      <c r="N53" s="222"/>
      <c r="O53" s="222"/>
      <c r="P53" s="223"/>
      <c r="Q53" s="112"/>
      <c r="R53" s="27"/>
      <c r="S53" s="13"/>
      <c r="T53" s="29"/>
      <c r="U53" s="22"/>
      <c r="X53" s="111"/>
      <c r="Y53" s="111"/>
      <c r="Z53" s="111"/>
      <c r="AA53" s="111"/>
      <c r="AB53" s="111"/>
      <c r="AC53" s="111"/>
      <c r="AD53" s="111"/>
      <c r="AE53" s="111"/>
      <c r="AF53" s="111"/>
      <c r="AG53" s="111"/>
      <c r="AH53" s="111"/>
      <c r="AI53" s="111"/>
      <c r="AJ53" s="111"/>
      <c r="AK53" s="111"/>
    </row>
    <row r="54" spans="1:37" ht="20.25" x14ac:dyDescent="0.25">
      <c r="A54" s="63"/>
      <c r="B54" s="128"/>
      <c r="C54" s="129" t="s">
        <v>39</v>
      </c>
      <c r="D54" s="129"/>
      <c r="E54" s="129"/>
      <c r="F54" s="129"/>
      <c r="G54" s="129"/>
      <c r="H54" s="129"/>
      <c r="I54" s="129"/>
      <c r="J54" s="129"/>
      <c r="K54" s="129"/>
      <c r="L54" s="129"/>
      <c r="M54" s="129" t="s">
        <v>82</v>
      </c>
      <c r="N54" s="129"/>
      <c r="O54" s="129"/>
      <c r="P54" s="119"/>
      <c r="Q54" s="121" t="s">
        <v>39</v>
      </c>
      <c r="R54" s="25">
        <v>0</v>
      </c>
      <c r="S54" s="31"/>
      <c r="T54" s="28" t="str">
        <f>CONCATENATE("On "," ",$R$15," ","KG")</f>
        <v>On   KG</v>
      </c>
      <c r="U54" s="20" t="str">
        <f>IF(S54="","",S54/($R$15*1000))</f>
        <v/>
      </c>
      <c r="X54" s="111"/>
      <c r="Y54" s="111"/>
      <c r="Z54" s="37"/>
      <c r="AA54" s="111"/>
      <c r="AB54" s="111"/>
      <c r="AC54" s="111"/>
      <c r="AD54" s="111"/>
      <c r="AE54" s="111"/>
      <c r="AF54" s="111"/>
      <c r="AG54" s="111"/>
      <c r="AH54" s="111"/>
      <c r="AI54" s="111"/>
      <c r="AJ54" s="111"/>
      <c r="AK54" s="111"/>
    </row>
    <row r="55" spans="1:37" ht="20.25" x14ac:dyDescent="0.25">
      <c r="A55" s="63"/>
      <c r="B55" s="128"/>
      <c r="C55" s="129"/>
      <c r="D55" s="225"/>
      <c r="E55" s="225"/>
      <c r="F55" s="225"/>
      <c r="G55" s="225"/>
      <c r="H55" s="225"/>
      <c r="I55" s="129" t="s">
        <v>55</v>
      </c>
      <c r="J55" s="104"/>
      <c r="K55" s="129"/>
      <c r="L55" s="139"/>
      <c r="M55" s="129" t="s">
        <v>56</v>
      </c>
      <c r="N55" s="129"/>
      <c r="O55" s="129"/>
      <c r="P55" s="119"/>
      <c r="Q55" s="121" t="s">
        <v>39</v>
      </c>
      <c r="R55" s="25">
        <v>0</v>
      </c>
      <c r="S55" s="31"/>
      <c r="T55" s="28" t="str">
        <f>CONCATENATE("On "," ",$R$15," ","KG")</f>
        <v>On   KG</v>
      </c>
      <c r="U55" s="20" t="str">
        <f>IF(S55="","",S55/($R$15*1000))</f>
        <v/>
      </c>
      <c r="X55" s="111"/>
      <c r="Y55" s="111"/>
      <c r="Z55" s="37"/>
      <c r="AA55" s="111"/>
      <c r="AB55" s="111"/>
      <c r="AC55" s="111"/>
      <c r="AD55" s="111"/>
      <c r="AE55" s="111"/>
      <c r="AF55" s="111"/>
      <c r="AG55" s="111"/>
      <c r="AH55" s="111"/>
      <c r="AI55" s="111"/>
      <c r="AJ55" s="111"/>
      <c r="AK55" s="111"/>
    </row>
    <row r="56" spans="1:37" ht="20.25" x14ac:dyDescent="0.25">
      <c r="A56" s="63"/>
      <c r="B56" s="128"/>
      <c r="C56" s="129"/>
      <c r="D56" s="129"/>
      <c r="E56" s="129"/>
      <c r="F56" s="129"/>
      <c r="G56" s="129"/>
      <c r="H56" s="129"/>
      <c r="I56" s="129"/>
      <c r="J56" s="129"/>
      <c r="K56" s="129"/>
      <c r="L56" s="139"/>
      <c r="M56" s="129" t="s">
        <v>96</v>
      </c>
      <c r="N56" s="129"/>
      <c r="O56" s="129"/>
      <c r="P56" s="119"/>
      <c r="Q56" s="121" t="s">
        <v>39</v>
      </c>
      <c r="R56" s="25">
        <v>0</v>
      </c>
      <c r="S56" s="19"/>
      <c r="T56" s="28" t="str">
        <f>CONCATENATE("On "," ",$R$15," ","KG")</f>
        <v>On   KG</v>
      </c>
      <c r="U56" s="20" t="str">
        <f>IF(S56="","",S56/($R$15*1000))</f>
        <v/>
      </c>
      <c r="X56" s="111"/>
      <c r="Y56" s="111"/>
      <c r="Z56" s="37"/>
      <c r="AA56" s="111"/>
      <c r="AB56" s="111"/>
      <c r="AC56" s="111"/>
      <c r="AD56" s="111"/>
      <c r="AE56" s="111"/>
      <c r="AF56" s="111"/>
      <c r="AG56" s="111"/>
      <c r="AH56" s="111"/>
      <c r="AI56" s="111"/>
      <c r="AJ56" s="111"/>
      <c r="AK56" s="111"/>
    </row>
    <row r="57" spans="1:37" ht="20.25" x14ac:dyDescent="0.25">
      <c r="A57" s="63"/>
      <c r="B57" s="128"/>
      <c r="C57" s="129"/>
      <c r="D57" s="129"/>
      <c r="E57" s="129"/>
      <c r="F57" s="129"/>
      <c r="G57" s="129"/>
      <c r="H57" s="129"/>
      <c r="I57" s="129"/>
      <c r="J57" s="129"/>
      <c r="K57" s="129"/>
      <c r="L57" s="139"/>
      <c r="M57" s="129" t="s">
        <v>97</v>
      </c>
      <c r="N57" s="129"/>
      <c r="O57" s="129"/>
      <c r="P57" s="119"/>
      <c r="Q57" s="121" t="s">
        <v>39</v>
      </c>
      <c r="R57" s="25">
        <v>0</v>
      </c>
      <c r="S57" s="19"/>
      <c r="T57" s="28" t="str">
        <f>CONCATENATE("On "," ",$R$15," ","KG")</f>
        <v>On   KG</v>
      </c>
      <c r="U57" s="20" t="str">
        <f>IF(S57="","",S57/($R$15*1000))</f>
        <v/>
      </c>
      <c r="X57" s="111"/>
      <c r="Y57" s="111"/>
      <c r="Z57" s="37"/>
      <c r="AA57" s="111"/>
      <c r="AB57" s="111"/>
      <c r="AC57" s="111"/>
      <c r="AD57" s="111"/>
      <c r="AE57" s="111"/>
      <c r="AF57" s="111"/>
      <c r="AG57" s="111"/>
      <c r="AH57" s="111"/>
      <c r="AI57" s="111"/>
      <c r="AJ57" s="111"/>
      <c r="AK57" s="111"/>
    </row>
    <row r="58" spans="1:37" ht="14.45" customHeight="1" x14ac:dyDescent="0.25">
      <c r="A58" s="63"/>
      <c r="B58" s="128"/>
      <c r="C58" s="129" t="s">
        <v>39</v>
      </c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19"/>
      <c r="Q58" s="121" t="s">
        <v>39</v>
      </c>
      <c r="R58" s="25">
        <v>0</v>
      </c>
      <c r="S58" s="38"/>
      <c r="T58" s="28"/>
      <c r="U58" s="20" t="str">
        <f>IF(S58="","",S58/($R$15*1000))</f>
        <v/>
      </c>
      <c r="X58" s="111"/>
      <c r="Y58" s="111"/>
      <c r="Z58" s="111"/>
      <c r="AA58" s="111"/>
      <c r="AB58" s="111"/>
      <c r="AC58" s="111"/>
      <c r="AD58" s="111"/>
      <c r="AE58" s="111"/>
      <c r="AF58" s="111"/>
      <c r="AG58" s="111"/>
      <c r="AH58" s="111"/>
      <c r="AI58" s="111"/>
      <c r="AJ58" s="111"/>
      <c r="AK58" s="111"/>
    </row>
    <row r="59" spans="1:37" ht="12.6" customHeight="1" thickBot="1" x14ac:dyDescent="0.3">
      <c r="A59" s="63"/>
      <c r="B59" s="128"/>
      <c r="C59" s="129" t="s">
        <v>39</v>
      </c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19"/>
      <c r="Q59" s="121" t="s">
        <v>39</v>
      </c>
      <c r="R59" s="25">
        <v>0</v>
      </c>
      <c r="S59" s="56"/>
      <c r="T59" s="28"/>
      <c r="U59" s="20" t="s">
        <v>40</v>
      </c>
      <c r="X59" s="111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1"/>
    </row>
    <row r="60" spans="1:37" x14ac:dyDescent="0.25">
      <c r="A60" s="63"/>
      <c r="B60" s="226" t="s">
        <v>118</v>
      </c>
      <c r="C60" s="227"/>
      <c r="D60" s="227"/>
      <c r="E60" s="227"/>
      <c r="F60" s="227"/>
      <c r="G60" s="227"/>
      <c r="H60" s="227"/>
      <c r="I60" s="227"/>
      <c r="J60" s="227"/>
      <c r="K60" s="227"/>
      <c r="L60" s="227"/>
      <c r="M60" s="227"/>
      <c r="N60" s="227"/>
      <c r="O60" s="227"/>
      <c r="P60" s="227"/>
      <c r="Q60" s="197" t="s">
        <v>57</v>
      </c>
      <c r="R60" s="230" t="s">
        <v>120</v>
      </c>
      <c r="S60" s="231"/>
      <c r="T60" s="231"/>
      <c r="U60" s="232"/>
      <c r="X60" s="111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1"/>
    </row>
    <row r="61" spans="1:37" ht="15.75" thickBot="1" x14ac:dyDescent="0.3">
      <c r="A61" s="63"/>
      <c r="B61" s="228"/>
      <c r="C61" s="229"/>
      <c r="D61" s="229"/>
      <c r="E61" s="229"/>
      <c r="F61" s="229"/>
      <c r="G61" s="229"/>
      <c r="H61" s="229"/>
      <c r="I61" s="229"/>
      <c r="J61" s="229"/>
      <c r="K61" s="229"/>
      <c r="L61" s="229"/>
      <c r="M61" s="229"/>
      <c r="N61" s="229"/>
      <c r="O61" s="229"/>
      <c r="P61" s="229"/>
      <c r="Q61" s="198"/>
      <c r="R61" s="233"/>
      <c r="S61" s="234"/>
      <c r="T61" s="234"/>
      <c r="U61" s="235"/>
      <c r="X61" s="111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1"/>
    </row>
    <row r="62" spans="1:37" ht="22.15" customHeight="1" x14ac:dyDescent="0.25">
      <c r="A62" s="107"/>
      <c r="B62" s="140"/>
      <c r="C62" s="89"/>
      <c r="D62" s="89"/>
      <c r="E62" s="236" t="s">
        <v>40</v>
      </c>
      <c r="F62" s="236"/>
      <c r="G62" s="236">
        <v>1117.5</v>
      </c>
      <c r="H62" s="236"/>
      <c r="I62" s="236">
        <v>1236.2</v>
      </c>
      <c r="J62" s="236"/>
      <c r="K62" s="236">
        <v>180.6</v>
      </c>
      <c r="L62" s="236"/>
      <c r="M62" s="236">
        <v>11.4</v>
      </c>
      <c r="N62" s="236"/>
      <c r="O62" s="236" t="s">
        <v>40</v>
      </c>
      <c r="P62" s="236"/>
      <c r="Q62" s="237">
        <f>+R16</f>
        <v>0</v>
      </c>
      <c r="R62" s="245"/>
      <c r="S62" s="246"/>
      <c r="T62" s="246"/>
      <c r="U62" s="247"/>
      <c r="X62" s="111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1"/>
    </row>
    <row r="63" spans="1:37" ht="20.25" x14ac:dyDescent="0.25">
      <c r="A63" s="107"/>
      <c r="B63" s="134"/>
      <c r="C63" s="248"/>
      <c r="D63" s="249"/>
      <c r="E63" s="217" t="s">
        <v>58</v>
      </c>
      <c r="F63" s="218"/>
      <c r="G63" s="250" t="s">
        <v>121</v>
      </c>
      <c r="H63" s="251"/>
      <c r="I63" s="217" t="s">
        <v>59</v>
      </c>
      <c r="J63" s="218"/>
      <c r="K63" s="217" t="s">
        <v>60</v>
      </c>
      <c r="L63" s="218"/>
      <c r="M63" s="217" t="s">
        <v>85</v>
      </c>
      <c r="N63" s="218"/>
      <c r="O63" s="217" t="s">
        <v>61</v>
      </c>
      <c r="P63" s="218"/>
      <c r="Q63" s="238" t="s">
        <v>53</v>
      </c>
      <c r="R63" s="239"/>
      <c r="S63" s="240"/>
      <c r="T63" s="240"/>
      <c r="U63" s="24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</row>
    <row r="64" spans="1:37" ht="20.25" x14ac:dyDescent="0.25">
      <c r="A64" s="107"/>
      <c r="B64" s="141"/>
      <c r="C64" s="242" t="s">
        <v>84</v>
      </c>
      <c r="D64" s="243"/>
      <c r="E64" s="244" t="s">
        <v>40</v>
      </c>
      <c r="F64" s="244"/>
      <c r="G64" s="55"/>
      <c r="H64" s="142"/>
      <c r="I64" s="55"/>
      <c r="J64" s="142"/>
      <c r="K64" s="55"/>
      <c r="L64" s="142"/>
      <c r="M64" s="55"/>
      <c r="N64" s="142"/>
      <c r="O64" s="55"/>
      <c r="P64" s="142"/>
      <c r="Q64" s="143"/>
      <c r="R64" s="239"/>
      <c r="S64" s="240"/>
      <c r="T64" s="240"/>
      <c r="U64" s="24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</row>
    <row r="65" spans="1:37" ht="21" thickBot="1" x14ac:dyDescent="0.3">
      <c r="A65" s="107"/>
      <c r="B65" s="144"/>
      <c r="C65" s="145" t="s">
        <v>24</v>
      </c>
      <c r="D65" s="145"/>
      <c r="E65" s="257" t="s">
        <v>40</v>
      </c>
      <c r="F65" s="257"/>
      <c r="G65" s="258"/>
      <c r="H65" s="258"/>
      <c r="I65" s="258"/>
      <c r="J65" s="258"/>
      <c r="K65" s="258"/>
      <c r="L65" s="258"/>
      <c r="M65" s="258"/>
      <c r="N65" s="258"/>
      <c r="O65" s="258"/>
      <c r="P65" s="258"/>
      <c r="Q65" s="143" t="s">
        <v>45</v>
      </c>
      <c r="R65" s="239"/>
      <c r="S65" s="240"/>
      <c r="T65" s="240"/>
      <c r="U65" s="24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</row>
    <row r="66" spans="1:37" ht="21" thickBot="1" x14ac:dyDescent="0.3">
      <c r="A66" s="107"/>
      <c r="B66" s="146"/>
      <c r="C66" s="147" t="s">
        <v>62</v>
      </c>
      <c r="D66" s="147"/>
      <c r="E66" s="255">
        <v>0</v>
      </c>
      <c r="F66" s="256"/>
      <c r="G66" s="54" t="e">
        <f>(G64/(SUM($G$64:$P$64)))</f>
        <v>#DIV/0!</v>
      </c>
      <c r="H66" s="46"/>
      <c r="I66" s="54" t="e">
        <f>+I64/(SUM($G$64:$P$64))</f>
        <v>#DIV/0!</v>
      </c>
      <c r="J66" s="46"/>
      <c r="K66" s="54" t="e">
        <f>+K64/(SUM($G$64:$P$64))</f>
        <v>#DIV/0!</v>
      </c>
      <c r="L66" s="46"/>
      <c r="M66" s="54" t="e">
        <f>+M64/(SUM($G$64:$P$64))</f>
        <v>#DIV/0!</v>
      </c>
      <c r="N66" s="46"/>
      <c r="O66" s="54" t="e">
        <f>+O64/(SUM($G$64:$P$64))</f>
        <v>#DIV/0!</v>
      </c>
      <c r="P66" s="57"/>
      <c r="Q66" s="148" t="s">
        <v>45</v>
      </c>
      <c r="R66" s="252"/>
      <c r="S66" s="253"/>
      <c r="T66" s="253"/>
      <c r="U66" s="254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</row>
  </sheetData>
  <sheetProtection algorithmName="SHA-512" hashValue="IYWP2nx/lmBg+HHC/yBBzYD0CX0juTKfK8eVY0xKO99XYqj0VbVoZxmQnlefTfIkEANqsnFhElEK+yjsl3rrZA==" saltValue="+kh1FrESwzoMCfNHlxa9Uw==" spinCount="100000" sheet="1"/>
  <mergeCells count="116">
    <mergeCell ref="R66:U66"/>
    <mergeCell ref="E66:F66"/>
    <mergeCell ref="E65:F65"/>
    <mergeCell ref="G65:H65"/>
    <mergeCell ref="I65:J65"/>
    <mergeCell ref="K65:L65"/>
    <mergeCell ref="M65:N65"/>
    <mergeCell ref="O65:P65"/>
    <mergeCell ref="R65:U65"/>
    <mergeCell ref="R64:U64"/>
    <mergeCell ref="C64:D64"/>
    <mergeCell ref="E64:F64"/>
    <mergeCell ref="R62:U62"/>
    <mergeCell ref="C63:D63"/>
    <mergeCell ref="E63:F63"/>
    <mergeCell ref="G63:H63"/>
    <mergeCell ref="I63:J63"/>
    <mergeCell ref="K63:L63"/>
    <mergeCell ref="M63:N63"/>
    <mergeCell ref="O63:P63"/>
    <mergeCell ref="R63:U63"/>
    <mergeCell ref="B60:P61"/>
    <mergeCell ref="Q60:Q61"/>
    <mergeCell ref="R60:U61"/>
    <mergeCell ref="E62:F62"/>
    <mergeCell ref="G62:H62"/>
    <mergeCell ref="I62:J62"/>
    <mergeCell ref="K62:L62"/>
    <mergeCell ref="M62:N62"/>
    <mergeCell ref="O62:P62"/>
    <mergeCell ref="Q62:Q63"/>
    <mergeCell ref="B49:P49"/>
    <mergeCell ref="B53:P53"/>
    <mergeCell ref="D55:H55"/>
    <mergeCell ref="B47:P48"/>
    <mergeCell ref="Q47:Q48"/>
    <mergeCell ref="R47:R48"/>
    <mergeCell ref="S47:U47"/>
    <mergeCell ref="B44:P44"/>
    <mergeCell ref="B40:P40"/>
    <mergeCell ref="B42:P43"/>
    <mergeCell ref="Q42:Q43"/>
    <mergeCell ref="R42:R43"/>
    <mergeCell ref="S42:U42"/>
    <mergeCell ref="E39:F39"/>
    <mergeCell ref="G39:H39"/>
    <mergeCell ref="I39:J39"/>
    <mergeCell ref="K39:L39"/>
    <mergeCell ref="M39:N39"/>
    <mergeCell ref="O39:P39"/>
    <mergeCell ref="B37:P37"/>
    <mergeCell ref="E38:F38"/>
    <mergeCell ref="G38:H38"/>
    <mergeCell ref="I38:J38"/>
    <mergeCell ref="K38:L38"/>
    <mergeCell ref="M38:N38"/>
    <mergeCell ref="O38:P38"/>
    <mergeCell ref="B35:P36"/>
    <mergeCell ref="Q35:Q36"/>
    <mergeCell ref="R35:R36"/>
    <mergeCell ref="S35:U35"/>
    <mergeCell ref="B31:P31"/>
    <mergeCell ref="B27:P27"/>
    <mergeCell ref="B29:P30"/>
    <mergeCell ref="Q29:Q30"/>
    <mergeCell ref="R29:R30"/>
    <mergeCell ref="S29:U29"/>
    <mergeCell ref="D25:E25"/>
    <mergeCell ref="F25:G25"/>
    <mergeCell ref="H25:I25"/>
    <mergeCell ref="D26:E26"/>
    <mergeCell ref="F26:G26"/>
    <mergeCell ref="H26:I26"/>
    <mergeCell ref="B23:P23"/>
    <mergeCell ref="D24:E24"/>
    <mergeCell ref="F24:G24"/>
    <mergeCell ref="H24:I24"/>
    <mergeCell ref="J24:K24"/>
    <mergeCell ref="L24:M24"/>
    <mergeCell ref="N24:O24"/>
    <mergeCell ref="R19:S19"/>
    <mergeCell ref="B21:P22"/>
    <mergeCell ref="Q21:Q22"/>
    <mergeCell ref="R21:R22"/>
    <mergeCell ref="S21:U21"/>
    <mergeCell ref="B20:U20"/>
    <mergeCell ref="R16:S16"/>
    <mergeCell ref="T16:U16"/>
    <mergeCell ref="R17:S17"/>
    <mergeCell ref="C18:Q18"/>
    <mergeCell ref="R18:S18"/>
    <mergeCell ref="T18:U18"/>
    <mergeCell ref="D1:S1"/>
    <mergeCell ref="B1:C1"/>
    <mergeCell ref="C13:Q13"/>
    <mergeCell ref="R13:S13"/>
    <mergeCell ref="T13:U13"/>
    <mergeCell ref="R14:S14"/>
    <mergeCell ref="R15:S15"/>
    <mergeCell ref="T15:U15"/>
    <mergeCell ref="C10:Q10"/>
    <mergeCell ref="R10:S10"/>
    <mergeCell ref="C11:Q11"/>
    <mergeCell ref="C12:Q12"/>
    <mergeCell ref="R12:S12"/>
    <mergeCell ref="T12:U12"/>
    <mergeCell ref="B2:U2"/>
    <mergeCell ref="H6:Q6"/>
    <mergeCell ref="R6:S7"/>
    <mergeCell ref="H7:Q7"/>
    <mergeCell ref="C9:Q9"/>
    <mergeCell ref="B8:U8"/>
    <mergeCell ref="H3:Q3"/>
    <mergeCell ref="R3:S3"/>
    <mergeCell ref="H4:Q4"/>
    <mergeCell ref="H5:Q5"/>
  </mergeCells>
  <conditionalFormatting sqref="R32:R34 S44:U44 S49:U49 R49:R52 S33 S38 R38:R39 S45:S46 R44:R45">
    <cfRule type="cellIs" dxfId="50" priority="107" operator="equal">
      <formula>0</formula>
    </cfRule>
  </conditionalFormatting>
  <conditionalFormatting sqref="R37:U37">
    <cfRule type="cellIs" dxfId="49" priority="103" operator="equal">
      <formula>0</formula>
    </cfRule>
  </conditionalFormatting>
  <conditionalFormatting sqref="R31:U31">
    <cfRule type="cellIs" dxfId="48" priority="104" operator="equal">
      <formula>0</formula>
    </cfRule>
  </conditionalFormatting>
  <conditionalFormatting sqref="T27:U27">
    <cfRule type="cellIs" dxfId="47" priority="102" operator="equal">
      <formula>0</formula>
    </cfRule>
  </conditionalFormatting>
  <conditionalFormatting sqref="S59 S41">
    <cfRule type="expression" dxfId="46" priority="101">
      <formula>$R41=0</formula>
    </cfRule>
  </conditionalFormatting>
  <conditionalFormatting sqref="U58:U59">
    <cfRule type="cellIs" dxfId="45" priority="100" operator="equal">
      <formula>0</formula>
    </cfRule>
  </conditionalFormatting>
  <conditionalFormatting sqref="S32 S50:S52 S54:S57 S59 S41 S45:S46">
    <cfRule type="cellIs" dxfId="44" priority="99" operator="greaterThanOrEqual">
      <formula>0</formula>
    </cfRule>
  </conditionalFormatting>
  <conditionalFormatting sqref="T40">
    <cfRule type="cellIs" dxfId="43" priority="93" operator="equal">
      <formula>0</formula>
    </cfRule>
  </conditionalFormatting>
  <conditionalFormatting sqref="R54:R59">
    <cfRule type="cellIs" dxfId="42" priority="91" operator="equal">
      <formula>0</formula>
    </cfRule>
  </conditionalFormatting>
  <conditionalFormatting sqref="T53">
    <cfRule type="cellIs" dxfId="41" priority="90" operator="equal">
      <formula>0</formula>
    </cfRule>
  </conditionalFormatting>
  <conditionalFormatting sqref="E66:F66">
    <cfRule type="cellIs" dxfId="40" priority="73" operator="equal">
      <formula>0</formula>
    </cfRule>
  </conditionalFormatting>
  <conditionalFormatting sqref="E66:F66">
    <cfRule type="cellIs" dxfId="39" priority="69" operator="between">
      <formula>#REF!</formula>
      <formula>#REF!</formula>
    </cfRule>
  </conditionalFormatting>
  <conditionalFormatting sqref="E66:F66">
    <cfRule type="cellIs" dxfId="38" priority="68" operator="between">
      <formula>#REF!</formula>
      <formula>#REF!</formula>
    </cfRule>
  </conditionalFormatting>
  <conditionalFormatting sqref="B60:P61">
    <cfRule type="expression" dxfId="37" priority="55" stopIfTrue="1">
      <formula>$H$5&lt;&gt;"Flint"</formula>
    </cfRule>
    <cfRule type="expression" dxfId="36" priority="56">
      <formula>$E$64=""</formula>
    </cfRule>
  </conditionalFormatting>
  <conditionalFormatting sqref="Z25:Z26 Z38:Z39">
    <cfRule type="cellIs" dxfId="35" priority="46" operator="greaterThan">
      <formula>#REF!</formula>
    </cfRule>
  </conditionalFormatting>
  <conditionalFormatting sqref="Z28">
    <cfRule type="cellIs" dxfId="34" priority="45" operator="greaterThan">
      <formula>#REF!</formula>
    </cfRule>
  </conditionalFormatting>
  <conditionalFormatting sqref="Z32">
    <cfRule type="cellIs" dxfId="33" priority="44" operator="greaterThan">
      <formula>#REF!</formula>
    </cfRule>
  </conditionalFormatting>
  <conditionalFormatting sqref="Z34">
    <cfRule type="cellIs" dxfId="32" priority="43" operator="greaterThan">
      <formula>#REF!</formula>
    </cfRule>
  </conditionalFormatting>
  <conditionalFormatting sqref="Z41">
    <cfRule type="cellIs" dxfId="31" priority="40" operator="greaterThan">
      <formula>#REF!</formula>
    </cfRule>
  </conditionalFormatting>
  <conditionalFormatting sqref="Z46">
    <cfRule type="cellIs" dxfId="30" priority="38" operator="greaterThan">
      <formula>#REF!</formula>
    </cfRule>
  </conditionalFormatting>
  <conditionalFormatting sqref="Z50:Z52">
    <cfRule type="cellIs" dxfId="29" priority="34" operator="greaterThan">
      <formula>#REF!</formula>
    </cfRule>
  </conditionalFormatting>
  <conditionalFormatting sqref="Z54:Z57">
    <cfRule type="cellIs" dxfId="28" priority="33" operator="greaterThan">
      <formula>#REF!</formula>
    </cfRule>
  </conditionalFormatting>
  <conditionalFormatting sqref="R15:S15">
    <cfRule type="cellIs" dxfId="27" priority="31" operator="lessThan">
      <formula>9.5</formula>
    </cfRule>
  </conditionalFormatting>
  <conditionalFormatting sqref="R16:S16">
    <cfRule type="cellIs" dxfId="26" priority="30" operator="lessThan">
      <formula>3</formula>
    </cfRule>
  </conditionalFormatting>
  <conditionalFormatting sqref="R18:S18">
    <cfRule type="cellIs" dxfId="25" priority="29" operator="lessThan">
      <formula>0.0004</formula>
    </cfRule>
  </conditionalFormatting>
  <conditionalFormatting sqref="U41">
    <cfRule type="cellIs" dxfId="24" priority="7" operator="greaterThan">
      <formula>100</formula>
    </cfRule>
    <cfRule type="cellIs" dxfId="23" priority="27" operator="greaterThan">
      <formula>100</formula>
    </cfRule>
  </conditionalFormatting>
  <conditionalFormatting sqref="U50">
    <cfRule type="cellIs" dxfId="22" priority="19" operator="lessThan">
      <formula>1</formula>
    </cfRule>
    <cfRule type="cellIs" dxfId="21" priority="21" operator="lessThan">
      <formula>1</formula>
    </cfRule>
  </conditionalFormatting>
  <conditionalFormatting sqref="U57">
    <cfRule type="cellIs" dxfId="20" priority="20" operator="greaterThan">
      <formula>0.5</formula>
    </cfRule>
  </conditionalFormatting>
  <conditionalFormatting sqref="U54">
    <cfRule type="cellIs" dxfId="19" priority="18" operator="greaterThan">
      <formula>0</formula>
    </cfRule>
  </conditionalFormatting>
  <conditionalFormatting sqref="U52">
    <cfRule type="cellIs" dxfId="18" priority="5" operator="greaterThan">
      <formula>0.12</formula>
    </cfRule>
    <cfRule type="cellIs" dxfId="17" priority="17" operator="greaterThan">
      <formula>0.5</formula>
    </cfRule>
  </conditionalFormatting>
  <conditionalFormatting sqref="R14:S14">
    <cfRule type="cellIs" dxfId="16" priority="16" operator="lessThan">
      <formula>250</formula>
    </cfRule>
  </conditionalFormatting>
  <conditionalFormatting sqref="U26">
    <cfRule type="cellIs" dxfId="15" priority="3" operator="greaterThanOrEqual">
      <formula>25</formula>
    </cfRule>
    <cfRule type="cellIs" dxfId="14" priority="4" operator="greaterThan">
      <formula>25</formula>
    </cfRule>
    <cfRule type="cellIs" dxfId="13" priority="11" operator="greaterThan">
      <formula>35</formula>
    </cfRule>
    <cfRule type="cellIs" dxfId="12" priority="15" operator="greaterThan">
      <formula>40</formula>
    </cfRule>
  </conditionalFormatting>
  <conditionalFormatting sqref="U32">
    <cfRule type="cellIs" dxfId="11" priority="10" operator="greaterThan">
      <formula>5</formula>
    </cfRule>
    <cfRule type="cellIs" dxfId="10" priority="14" operator="greaterThan">
      <formula>10</formula>
    </cfRule>
  </conditionalFormatting>
  <conditionalFormatting sqref="U34">
    <cfRule type="cellIs" dxfId="9" priority="9" operator="greaterThan">
      <formula>5</formula>
    </cfRule>
    <cfRule type="cellIs" dxfId="8" priority="13" operator="greaterThan">
      <formula>10</formula>
    </cfRule>
  </conditionalFormatting>
  <conditionalFormatting sqref="U39">
    <cfRule type="cellIs" dxfId="7" priority="8" operator="greaterThan">
      <formula>300</formula>
    </cfRule>
    <cfRule type="cellIs" dxfId="6" priority="12" operator="greaterThan">
      <formula>400</formula>
    </cfRule>
  </conditionalFormatting>
  <conditionalFormatting sqref="U25">
    <cfRule type="cellIs" dxfId="5" priority="6" operator="greaterThan">
      <formula>200</formula>
    </cfRule>
  </conditionalFormatting>
  <conditionalFormatting sqref="R46">
    <cfRule type="cellIs" dxfId="4" priority="2" operator="equal">
      <formula>0</formula>
    </cfRule>
  </conditionalFormatting>
  <conditionalFormatting sqref="U46">
    <cfRule type="cellIs" dxfId="3" priority="1" operator="greaterThanOrEqual">
      <formula>0</formula>
    </cfRule>
  </conditionalFormatting>
  <conditionalFormatting sqref="E66:F66">
    <cfRule type="expression" dxfId="2" priority="185">
      <formula>(#REF!+#REF!)&gt;0</formula>
    </cfRule>
    <cfRule type="cellIs" dxfId="1" priority="186" operator="between">
      <formula>#REF!</formula>
      <formula>#REF!</formula>
    </cfRule>
  </conditionalFormatting>
  <conditionalFormatting sqref="Q64">
    <cfRule type="expression" dxfId="0" priority="187">
      <formula>$Z64&lt;&gt;$H$5</formula>
    </cfRule>
  </conditionalFormatting>
  <dataValidations count="2">
    <dataValidation type="list" allowBlank="1" showInputMessage="1" showErrorMessage="1" prompt="Indicatie van de homogeniteit scherfgrootte van de scherven  bij een visuele inspectie" sqref="AN1" xr:uid="{E00221DA-0F01-4A93-95EE-CBB275C47262}">
      <formula1>Homogeneous</formula1>
    </dataValidation>
    <dataValidation type="decimal" allowBlank="1" showInputMessage="1" showErrorMessage="1" promptTitle="Bepaling vervuiling " prompt="Gewicht in KG van het monster van de levering waar de keuring op wordt uitgevoerd_x000a_(max 2000 kg)" sqref="R14:S14" xr:uid="{9D009DAB-0BEA-4072-AE67-C9735D1305BD}">
      <formula1>1</formula1>
      <formula2>2000</formula2>
    </dataValidation>
  </dataValidations>
  <pageMargins left="0.19685039370078741" right="0.31496062992125984" top="0.15748031496062992" bottom="0.19685039370078741" header="0" footer="0"/>
  <pageSetup paperSize="9" scale="52" fitToHeight="2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FA120-5B58-45C5-A746-93EBDEC0679B}">
  <sheetPr codeName="Blad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B0039-7423-441B-A50A-32A9C0380461}">
  <sheetPr codeName="Blad1"/>
  <dimension ref="A1"/>
  <sheetViews>
    <sheetView workbookViewId="0">
      <selection activeCell="Q25" sqref="Q25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Transport data</vt:lpstr>
      <vt:lpstr>invoer data</vt:lpstr>
      <vt:lpstr>Visual</vt:lpstr>
      <vt:lpstr>CSP and Pyro</vt:lpstr>
      <vt:lpstr>Contamination</vt:lpstr>
      <vt:lpstr>Lot overview</vt:lpstr>
    </vt:vector>
  </TitlesOfParts>
  <Company>O-I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Goos Kers</dc:creator>
  <cp:lastModifiedBy>Mejia, Z.W.J. (Zion)</cp:lastModifiedBy>
  <cp:lastPrinted>2023-12-13T11:59:59Z</cp:lastPrinted>
  <dcterms:created xsi:type="dcterms:W3CDTF">2017-06-21T13:52:38Z</dcterms:created>
  <dcterms:modified xsi:type="dcterms:W3CDTF">2024-12-07T16:08:41Z</dcterms:modified>
</cp:coreProperties>
</file>